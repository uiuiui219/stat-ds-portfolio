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IUIUI\KMUTT\STD 334 Multivariate\"/>
    </mc:Choice>
  </mc:AlternateContent>
  <xr:revisionPtr revIDLastSave="0" documentId="8_{221AE74D-F7E6-4E8D-9EC7-A684A518EEFC}" xr6:coauthVersionLast="47" xr6:coauthVersionMax="47" xr10:uidLastSave="{00000000-0000-0000-0000-000000000000}"/>
  <bookViews>
    <workbookView xWindow="-110" yWindow="-110" windowWidth="19420" windowHeight="11500" xr2:uid="{5047AC8B-3F91-4CBA-AFA8-5F4FEAF3C6E7}"/>
  </bookViews>
  <sheets>
    <sheet name="canonic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9" i="1" l="1" a="1"/>
  <c r="G49" i="1" s="1"/>
  <c r="B67" i="1" a="1"/>
  <c r="B67" i="1" s="1"/>
  <c r="B64" i="1" a="1"/>
  <c r="B64" i="1" s="1"/>
  <c r="B61" i="1" a="1"/>
  <c r="B61" i="1" s="1"/>
  <c r="B57" i="1" a="1"/>
  <c r="B57" i="1" s="1"/>
  <c r="B54" i="1" a="1"/>
  <c r="B54" i="1" s="1"/>
  <c r="B51" i="1" a="1"/>
  <c r="B51" i="1" s="1"/>
  <c r="G22" i="1"/>
  <c r="F23" i="1" s="1"/>
  <c r="G21" i="1"/>
  <c r="E23" i="1" s="1"/>
  <c r="F21" i="1"/>
  <c r="E22" i="1" s="1"/>
  <c r="G20" i="1"/>
  <c r="D23" i="1" s="1"/>
  <c r="F20" i="1"/>
  <c r="D22" i="1" s="1"/>
  <c r="G23" i="1"/>
  <c r="F22" i="1"/>
  <c r="E21" i="1"/>
  <c r="D20" i="1"/>
  <c r="E20" i="1"/>
  <c r="D21" i="1" s="1"/>
  <c r="G19" i="1"/>
  <c r="C23" i="1" s="1"/>
  <c r="F19" i="1"/>
  <c r="C22" i="1" s="1"/>
  <c r="E19" i="1"/>
  <c r="C21" i="1" s="1"/>
  <c r="D19" i="1"/>
  <c r="C20" i="1" s="1"/>
  <c r="C19" i="1"/>
  <c r="G18" i="1"/>
  <c r="B23" i="1" s="1"/>
  <c r="F18" i="1"/>
  <c r="B22" i="1" s="1"/>
  <c r="E18" i="1"/>
  <c r="B21" i="1" s="1"/>
  <c r="D18" i="1"/>
  <c r="B20" i="1" s="1"/>
  <c r="C18" i="1"/>
  <c r="B19" i="1" s="1"/>
  <c r="B18" i="1"/>
  <c r="G16" i="1"/>
  <c r="E16" i="1"/>
  <c r="C16" i="1"/>
  <c r="G15" i="1"/>
  <c r="F16" i="1" s="1"/>
  <c r="F15" i="1"/>
  <c r="G14" i="1"/>
  <c r="F14" i="1"/>
  <c r="E15" i="1" s="1"/>
  <c r="B28" i="1" s="1" a="1"/>
  <c r="B28" i="1" s="1"/>
  <c r="E14" i="1"/>
  <c r="C14" i="1"/>
  <c r="G13" i="1"/>
  <c r="D16" i="1" s="1"/>
  <c r="F13" i="1"/>
  <c r="D15" i="1" s="1"/>
  <c r="E13" i="1"/>
  <c r="D14" i="1" s="1"/>
  <c r="D13" i="1"/>
  <c r="G12" i="1"/>
  <c r="F12" i="1"/>
  <c r="C15" i="1" s="1"/>
  <c r="E12" i="1"/>
  <c r="D12" i="1"/>
  <c r="C13" i="1" s="1"/>
  <c r="C12" i="1"/>
  <c r="G11" i="1"/>
  <c r="B16" i="1" s="1"/>
  <c r="F11" i="1"/>
  <c r="B15" i="1" s="1"/>
  <c r="E11" i="1"/>
  <c r="B14" i="1" s="1"/>
  <c r="D11" i="1"/>
  <c r="B13" i="1" s="1"/>
  <c r="C11" i="1"/>
  <c r="B12" i="1" s="1"/>
  <c r="B11" i="1"/>
  <c r="C8" i="1"/>
  <c r="D8" i="1"/>
  <c r="B9" i="1"/>
  <c r="C9" i="1"/>
  <c r="D9" i="1"/>
  <c r="B8" i="1"/>
  <c r="B32" i="1" l="1" a="1"/>
  <c r="B32" i="1" s="1"/>
  <c r="B44" i="1" s="1" a="1"/>
  <c r="B44" i="1" s="1"/>
  <c r="B35" i="1" a="1"/>
  <c r="B35" i="1" s="1"/>
  <c r="B47" i="1" s="1" a="1"/>
  <c r="B47" i="1" s="1"/>
  <c r="B25" i="1" a="1"/>
  <c r="B25" i="1" s="1"/>
  <c r="B41" i="1" a="1"/>
  <c r="B41" i="1" s="1"/>
  <c r="B38" i="1" a="1"/>
  <c r="B38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<sst xmlns="http://schemas.openxmlformats.org/spreadsheetml/2006/main" count="25" uniqueCount="25">
  <si>
    <t>id</t>
  </si>
  <si>
    <t>y1</t>
  </si>
  <si>
    <t>y2</t>
  </si>
  <si>
    <t>y3</t>
  </si>
  <si>
    <t>x1</t>
  </si>
  <si>
    <t>x2</t>
  </si>
  <si>
    <t>x3</t>
  </si>
  <si>
    <t>ybar</t>
  </si>
  <si>
    <t>xbar</t>
  </si>
  <si>
    <t>s</t>
  </si>
  <si>
    <t>r</t>
  </si>
  <si>
    <t>sy</t>
  </si>
  <si>
    <t>sx</t>
  </si>
  <si>
    <t>ryy</t>
  </si>
  <si>
    <t>rxx</t>
  </si>
  <si>
    <t>ryy-1</t>
  </si>
  <si>
    <t>rxx-1</t>
  </si>
  <si>
    <t>rxy</t>
  </si>
  <si>
    <t>ryx</t>
  </si>
  <si>
    <t>(rxx-1)(rxy)(ryy-1)(ryx)</t>
  </si>
  <si>
    <t>(rxx-1)(rxy)</t>
  </si>
  <si>
    <t>(rxx-1)(rxy)(ryy-1)</t>
  </si>
  <si>
    <t>(ryy-1)(ryx)</t>
  </si>
  <si>
    <t>(ryy-1)(ryx)(rxx-1)</t>
  </si>
  <si>
    <t>(ryy-1)(ryx)(rxx-1)(rxy)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</si>
</sst>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2" x14ac:knownFonts="1">
    <font>
      <sz val="11"/>
      <color theme="1"/>
      <name val="Aptos Narrow"/>
      <family val="2"/>
      <charset val="22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4C145-C7DF-4E96-89AC-F0230360FB04}">
  <dimension ref="A1:H69"/>
  <sheetViews>
    <sheetView tabSelected="1" zoomScale="113" workbookViewId="0">
      <selection activeCell="B8" sqref="B8:D9"/>
    </sheetView>
  </sheetViews>
  <sheetFormatPr defaultRowHeight="16.5" x14ac:dyDescent="0.45"/>
  <cols>
    <col min="1" max="1" width="18.75" bestFit="1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s="1">
        <v>1</v>
      </c>
      <c r="B2" s="1">
        <v>74</v>
      </c>
      <c r="C2" s="1">
        <v>64</v>
      </c>
      <c r="D2" s="1">
        <v>70</v>
      </c>
      <c r="E2" s="1">
        <v>109</v>
      </c>
      <c r="F2" s="1">
        <v>101</v>
      </c>
      <c r="G2" s="1">
        <v>103</v>
      </c>
    </row>
    <row r="3" spans="1:7" x14ac:dyDescent="0.45">
      <c r="A3" s="1">
        <v>2</v>
      </c>
      <c r="B3" s="1">
        <v>64</v>
      </c>
      <c r="C3" s="1">
        <v>71</v>
      </c>
      <c r="D3" s="1">
        <v>66</v>
      </c>
      <c r="E3" s="1">
        <v>77</v>
      </c>
      <c r="F3" s="1">
        <v>102</v>
      </c>
      <c r="G3" s="1">
        <v>130</v>
      </c>
    </row>
    <row r="4" spans="1:7" x14ac:dyDescent="0.45">
      <c r="A4" s="1">
        <v>3</v>
      </c>
      <c r="B4" s="1">
        <v>73</v>
      </c>
      <c r="C4" s="1">
        <v>70</v>
      </c>
      <c r="D4" s="1">
        <v>64</v>
      </c>
      <c r="E4" s="1">
        <v>115</v>
      </c>
      <c r="F4" s="1">
        <v>110</v>
      </c>
      <c r="G4" s="1">
        <v>109</v>
      </c>
    </row>
    <row r="5" spans="1:7" x14ac:dyDescent="0.45">
      <c r="A5" s="1">
        <v>4</v>
      </c>
      <c r="B5" s="1">
        <v>68</v>
      </c>
      <c r="C5" s="1">
        <v>67</v>
      </c>
      <c r="D5" s="1">
        <v>75</v>
      </c>
      <c r="E5" s="1">
        <v>76</v>
      </c>
      <c r="F5" s="1">
        <v>85</v>
      </c>
      <c r="G5" s="1">
        <v>119</v>
      </c>
    </row>
    <row r="6" spans="1:7" x14ac:dyDescent="0.45">
      <c r="A6" s="1">
        <v>5</v>
      </c>
      <c r="B6" s="1">
        <v>69</v>
      </c>
      <c r="C6" s="1">
        <v>82</v>
      </c>
      <c r="D6" s="1">
        <v>74</v>
      </c>
      <c r="E6" s="1">
        <v>72</v>
      </c>
      <c r="F6" s="1">
        <v>133</v>
      </c>
      <c r="G6" s="1">
        <v>127</v>
      </c>
    </row>
    <row r="8" spans="1:7" x14ac:dyDescent="0.45">
      <c r="A8" t="s">
        <v>7</v>
      </c>
      <c r="B8" s="2">
        <f>AVERAGE(B2:B6)</f>
        <v>69.599999999999994</v>
      </c>
      <c r="C8" s="2">
        <f t="shared" ref="C8:G8" si="0">AVERAGE(C2:C6)</f>
        <v>70.8</v>
      </c>
      <c r="D8" s="2">
        <f t="shared" si="0"/>
        <v>69.8</v>
      </c>
      <c r="E8" s="2"/>
      <c r="F8" s="2"/>
      <c r="G8" s="2"/>
    </row>
    <row r="9" spans="1:7" x14ac:dyDescent="0.45">
      <c r="A9" t="s">
        <v>8</v>
      </c>
      <c r="B9" s="2">
        <f>AVERAGE(E2:E6)</f>
        <v>89.8</v>
      </c>
      <c r="C9" s="2">
        <f>AVERAGE(F2:F6)</f>
        <v>106.2</v>
      </c>
      <c r="D9" s="2">
        <f>AVERAGE(G2:G6)</f>
        <v>117.6</v>
      </c>
      <c r="E9" s="2"/>
      <c r="F9" s="2"/>
      <c r="G9" s="2"/>
    </row>
    <row r="10" spans="1:7" x14ac:dyDescent="0.45">
      <c r="B10" s="2"/>
      <c r="C10" s="2"/>
      <c r="D10" s="2"/>
      <c r="E10" s="2"/>
      <c r="F10" s="2"/>
      <c r="G10" s="2"/>
    </row>
    <row r="11" spans="1:7" x14ac:dyDescent="0.45">
      <c r="A11" t="s">
        <v>9</v>
      </c>
      <c r="B11" s="2">
        <f>_xlfn.COVARIANCE.S(B2:B6,B2:B6)</f>
        <v>16.3</v>
      </c>
      <c r="C11" s="2">
        <f>_xlfn.COVARIANCE.S(B2:B6,C2:C6)</f>
        <v>-8.6</v>
      </c>
      <c r="D11" s="2">
        <f>_xlfn.COVARIANCE.S(B2:B6,D2:D6)</f>
        <v>-2.1000000000000005</v>
      </c>
      <c r="E11" s="2">
        <f>_xlfn.COVARIANCE.S(B2:B6,E2:E6)</f>
        <v>68.649999999999991</v>
      </c>
      <c r="F11" s="2">
        <f>_xlfn.COVARIANCE.S(B2:B6,F2:F6)</f>
        <v>7.8500000000000005</v>
      </c>
      <c r="G11" s="2">
        <f>_xlfn.COVARIANCE.S(B2:B6,G2:G6)</f>
        <v>-42.7</v>
      </c>
    </row>
    <row r="12" spans="1:7" x14ac:dyDescent="0.45">
      <c r="B12" s="2">
        <f>C11</f>
        <v>-8.6</v>
      </c>
      <c r="C12" s="2">
        <f>_xlfn.COVARIANCE.S(C2:C6,C2:C6)</f>
        <v>46.7</v>
      </c>
      <c r="D12" s="2">
        <f>_xlfn.COVARIANCE.S(C2:C6,D2:D6)</f>
        <v>7.45</v>
      </c>
      <c r="E12" s="2">
        <f>_xlfn.COVARIANCE.S(C2:C6,E2:E6)</f>
        <v>-75.050000000000011</v>
      </c>
      <c r="F12" s="2">
        <f>_xlfn.COVARIANCE.S(C2:C6,F2:F6)</f>
        <v>103.05</v>
      </c>
      <c r="G12" s="2">
        <f>_xlfn.COVARIANCE.S(C2:C6,G2:G6)</f>
        <v>52.149999999999991</v>
      </c>
    </row>
    <row r="13" spans="1:7" x14ac:dyDescent="0.45">
      <c r="B13" s="2">
        <f>D11</f>
        <v>-2.1000000000000005</v>
      </c>
      <c r="C13" s="2">
        <f>D12</f>
        <v>7.45</v>
      </c>
      <c r="D13" s="2">
        <f>_xlfn.COVARIANCE.S(D2:D6,D2:D6)</f>
        <v>23.200000000000003</v>
      </c>
      <c r="E13" s="2">
        <f>_xlfn.COVARIANCE.S(D2:D6,E2:E6)</f>
        <v>-60.05</v>
      </c>
      <c r="F13" s="2">
        <f>_xlfn.COVARIANCE.S(D2:D6,F2:F6)</f>
        <v>-1.2000000000000028</v>
      </c>
      <c r="G13" s="2">
        <f>_xlfn.COVARIANCE.S(D2:D6,G2:G6)</f>
        <v>11.650000000000002</v>
      </c>
    </row>
    <row r="14" spans="1:7" x14ac:dyDescent="0.45">
      <c r="B14" s="2">
        <f>E11</f>
        <v>68.649999999999991</v>
      </c>
      <c r="C14" s="2">
        <f>E12</f>
        <v>-75.050000000000011</v>
      </c>
      <c r="D14" s="2">
        <f>E13</f>
        <v>-60.05</v>
      </c>
      <c r="E14" s="2">
        <f>_xlfn.COVARIANCE.S(E2:E6,E2:E6)</f>
        <v>418.7</v>
      </c>
      <c r="F14" s="2">
        <f>_xlfn.COVARIANCE.S(E2:E6,F2:F6)</f>
        <v>-33.699999999999989</v>
      </c>
      <c r="G14" s="2">
        <f>_xlfn.COVARIANCE.S(E2:E6,G2:G6)</f>
        <v>-210.6</v>
      </c>
    </row>
    <row r="15" spans="1:7" x14ac:dyDescent="0.45">
      <c r="B15" s="2">
        <f>F11</f>
        <v>7.8500000000000005</v>
      </c>
      <c r="C15" s="2">
        <f>F12</f>
        <v>103.05</v>
      </c>
      <c r="D15" s="2">
        <f>F13</f>
        <v>-1.2000000000000028</v>
      </c>
      <c r="E15" s="2">
        <f>F14</f>
        <v>-33.699999999999989</v>
      </c>
      <c r="F15" s="2">
        <f>_xlfn.COVARIANCE.S(F2:F6,F2:F6)</f>
        <v>306.70000000000005</v>
      </c>
      <c r="G15" s="2">
        <f>_xlfn.COVARIANCE.S(F2:F6,G2:G6)</f>
        <v>53.35</v>
      </c>
    </row>
    <row r="16" spans="1:7" x14ac:dyDescent="0.45">
      <c r="B16" s="2">
        <f>G11</f>
        <v>-42.7</v>
      </c>
      <c r="C16" s="2">
        <f>G12</f>
        <v>52.149999999999991</v>
      </c>
      <c r="D16" s="2">
        <f>G13</f>
        <v>11.650000000000002</v>
      </c>
      <c r="E16" s="2">
        <f>G14</f>
        <v>-210.6</v>
      </c>
      <c r="F16" s="2">
        <f>G15</f>
        <v>53.35</v>
      </c>
      <c r="G16" s="2">
        <f>_xlfn.COVARIANCE.S(G2:G6,G2:G6)</f>
        <v>132.80000000000001</v>
      </c>
    </row>
    <row r="17" spans="1:7" x14ac:dyDescent="0.45">
      <c r="B17" s="2"/>
      <c r="C17" s="2"/>
      <c r="D17" s="2"/>
      <c r="E17" s="2"/>
      <c r="F17" s="2"/>
      <c r="G17" s="2"/>
    </row>
    <row r="18" spans="1:7" x14ac:dyDescent="0.45">
      <c r="A18" t="s">
        <v>10</v>
      </c>
      <c r="B18" s="2">
        <f>CORREL(B2:B6,B2:B6)</f>
        <v>1</v>
      </c>
      <c r="C18" s="2">
        <f>CORREL(B2:B6,C2:C6)</f>
        <v>-0.3117067512533972</v>
      </c>
      <c r="D18" s="2">
        <f>CORREL(B2:B6,D2:D6)</f>
        <v>-0.1079894924724208</v>
      </c>
      <c r="E18" s="2">
        <f>CORREL(B2:B6,E2:E6)</f>
        <v>0.83098896931419519</v>
      </c>
      <c r="F18" s="2">
        <f>CORREL(B2:B6,F2:F6)</f>
        <v>0.11102453593110595</v>
      </c>
      <c r="G18" s="2">
        <f>CORREL(B2:B6,G2:G6)</f>
        <v>-0.91777248919988108</v>
      </c>
    </row>
    <row r="19" spans="1:7" x14ac:dyDescent="0.45">
      <c r="B19" s="2">
        <f>C18</f>
        <v>-0.3117067512533972</v>
      </c>
      <c r="C19" s="2">
        <f>CORREL(C2:C6,C2:C6)</f>
        <v>1</v>
      </c>
      <c r="D19" s="2">
        <f>CORREL(C2:C6,D2:D6)</f>
        <v>0.22633610611685898</v>
      </c>
      <c r="E19" s="2">
        <f>CORREL(C2:C6,E2:E6)</f>
        <v>-0.53671134543669929</v>
      </c>
      <c r="F19" s="2">
        <f>CORREL(C2:C6,F2:F6)</f>
        <v>0.86105851898683994</v>
      </c>
      <c r="G19" s="2">
        <f>CORREL(C2:C6,G2:G6)</f>
        <v>0.66221167764050859</v>
      </c>
    </row>
    <row r="20" spans="1:7" x14ac:dyDescent="0.45">
      <c r="B20" s="2">
        <f>D18</f>
        <v>-0.1079894924724208</v>
      </c>
      <c r="C20" s="2">
        <f>D19</f>
        <v>0.22633610611685898</v>
      </c>
      <c r="D20" s="2">
        <f>CORREL(D2:D6,D2:D6)</f>
        <v>0.99999999999999978</v>
      </c>
      <c r="E20" s="2">
        <f>CORREL(D2:D6,E2:E6)</f>
        <v>-0.60928086487144306</v>
      </c>
      <c r="F20" s="2">
        <f>CORREL(D2:D6,F2:F6)</f>
        <v>-1.4225920115096278E-2</v>
      </c>
      <c r="G20" s="2">
        <f>CORREL(D2:D6,G2:G6)</f>
        <v>0.20988572189330523</v>
      </c>
    </row>
    <row r="21" spans="1:7" x14ac:dyDescent="0.45">
      <c r="B21" s="2">
        <f>E18</f>
        <v>0.83098896931419519</v>
      </c>
      <c r="C21" s="2">
        <f>E19</f>
        <v>-0.53671134543669929</v>
      </c>
      <c r="D21" s="2">
        <f>E20</f>
        <v>-0.60928086487144306</v>
      </c>
      <c r="E21" s="2">
        <f>CORREL(E2:E6,E2:E6)</f>
        <v>1</v>
      </c>
      <c r="F21" s="2">
        <f>CORREL(E2:E6,F2:F6)</f>
        <v>-9.404192977664147E-2</v>
      </c>
      <c r="G21" s="2">
        <f>CORREL(E2:E6,G2:G6)</f>
        <v>-0.8931159571231494</v>
      </c>
    </row>
    <row r="22" spans="1:7" x14ac:dyDescent="0.45">
      <c r="B22" s="2">
        <f>F18</f>
        <v>0.11102453593110595</v>
      </c>
      <c r="C22" s="2">
        <f>F19</f>
        <v>0.86105851898683994</v>
      </c>
      <c r="D22" s="2">
        <f>F20</f>
        <v>-1.4225920115096278E-2</v>
      </c>
      <c r="E22" s="2">
        <f>F21</f>
        <v>-9.404192977664147E-2</v>
      </c>
      <c r="F22" s="2">
        <f>CORREL(F2:F6,F2:F6)</f>
        <v>1</v>
      </c>
      <c r="G22" s="2">
        <f>CORREL(F2:F6,G2:G6)</f>
        <v>0.26434950301378868</v>
      </c>
    </row>
    <row r="23" spans="1:7" x14ac:dyDescent="0.45">
      <c r="B23" s="2">
        <f>G18</f>
        <v>-0.91777248919988108</v>
      </c>
      <c r="C23" s="2">
        <f>G19</f>
        <v>0.66221167764050859</v>
      </c>
      <c r="D23" s="2">
        <f>G20</f>
        <v>0.20988572189330523</v>
      </c>
      <c r="E23" s="2">
        <f>G21</f>
        <v>-0.8931159571231494</v>
      </c>
      <c r="F23" s="2">
        <f>G22</f>
        <v>0.26434950301378868</v>
      </c>
      <c r="G23" s="2">
        <f>CORREL(G2:G6,G2:G6)</f>
        <v>1</v>
      </c>
    </row>
    <row r="24" spans="1:7" x14ac:dyDescent="0.45">
      <c r="B24" s="2"/>
      <c r="C24" s="2"/>
      <c r="D24" s="2"/>
      <c r="E24" s="2"/>
      <c r="F24" s="2"/>
      <c r="G24" s="2"/>
    </row>
    <row r="25" spans="1:7" x14ac:dyDescent="0.45">
      <c r="A25" t="s">
        <v>11</v>
      </c>
      <c r="B25" s="2" cm="1">
        <f t="array" ref="B25:D27">B11:D13</f>
        <v>16.3</v>
      </c>
      <c r="C25" s="2">
        <v>-8.6</v>
      </c>
      <c r="D25" s="2">
        <v>-2.1000000000000005</v>
      </c>
      <c r="E25" s="2"/>
      <c r="F25" s="2"/>
      <c r="G25" s="2"/>
    </row>
    <row r="26" spans="1:7" x14ac:dyDescent="0.45">
      <c r="B26" s="2">
        <v>-8.6</v>
      </c>
      <c r="C26" s="2">
        <v>46.7</v>
      </c>
      <c r="D26" s="2">
        <v>7.45</v>
      </c>
      <c r="E26" s="2"/>
      <c r="F26" s="2"/>
      <c r="G26" s="2"/>
    </row>
    <row r="27" spans="1:7" x14ac:dyDescent="0.45">
      <c r="B27" s="2">
        <v>-2.1000000000000005</v>
      </c>
      <c r="C27" s="2">
        <v>7.45</v>
      </c>
      <c r="D27" s="2">
        <v>23.200000000000003</v>
      </c>
      <c r="E27" s="2"/>
      <c r="F27" s="2"/>
      <c r="G27" s="2"/>
    </row>
    <row r="28" spans="1:7" x14ac:dyDescent="0.45">
      <c r="A28" t="s">
        <v>12</v>
      </c>
      <c r="B28" s="2" cm="1">
        <f t="array" ref="B28:D30">E14:G16</f>
        <v>418.7</v>
      </c>
      <c r="C28" s="2">
        <v>-33.699999999999989</v>
      </c>
      <c r="D28" s="2">
        <v>-210.6</v>
      </c>
      <c r="E28" s="2"/>
      <c r="F28" s="2"/>
      <c r="G28" s="2"/>
    </row>
    <row r="29" spans="1:7" x14ac:dyDescent="0.45">
      <c r="B29" s="2">
        <v>-33.699999999999989</v>
      </c>
      <c r="C29" s="2">
        <v>306.70000000000005</v>
      </c>
      <c r="D29" s="2">
        <v>53.35</v>
      </c>
      <c r="E29" s="2"/>
      <c r="F29" s="2"/>
      <c r="G29" s="2"/>
    </row>
    <row r="30" spans="1:7" x14ac:dyDescent="0.45">
      <c r="B30" s="2">
        <v>-210.6</v>
      </c>
      <c r="C30" s="2">
        <v>53.35</v>
      </c>
      <c r="D30" s="2">
        <v>132.80000000000001</v>
      </c>
      <c r="E30" s="2"/>
      <c r="F30" s="2"/>
      <c r="G30" s="2"/>
    </row>
    <row r="31" spans="1:7" x14ac:dyDescent="0.45">
      <c r="B31" s="2"/>
      <c r="C31" s="2"/>
      <c r="D31" s="2"/>
      <c r="E31" s="2"/>
      <c r="F31" s="2"/>
      <c r="G31" s="2"/>
    </row>
    <row r="32" spans="1:7" x14ac:dyDescent="0.45">
      <c r="A32" t="s">
        <v>13</v>
      </c>
      <c r="B32" s="2" cm="1">
        <f t="array" ref="B32:D34">B18:D20</f>
        <v>1</v>
      </c>
      <c r="C32" s="2">
        <v>-0.3117067512533972</v>
      </c>
      <c r="D32" s="2">
        <v>-0.1079894924724208</v>
      </c>
      <c r="E32" s="2"/>
      <c r="F32" s="2"/>
      <c r="G32" s="2"/>
    </row>
    <row r="33" spans="1:8" x14ac:dyDescent="0.45">
      <c r="B33" s="2">
        <v>-0.3117067512533972</v>
      </c>
      <c r="C33" s="2">
        <v>1</v>
      </c>
      <c r="D33" s="2">
        <v>0.22633610611685898</v>
      </c>
      <c r="E33" s="2"/>
      <c r="F33" s="2"/>
      <c r="G33" s="2"/>
    </row>
    <row r="34" spans="1:8" x14ac:dyDescent="0.45">
      <c r="B34" s="2">
        <v>-0.1079894924724208</v>
      </c>
      <c r="C34" s="2">
        <v>0.22633610611685898</v>
      </c>
      <c r="D34" s="2">
        <v>0.99999999999999978</v>
      </c>
      <c r="E34" s="2"/>
      <c r="F34" s="2"/>
      <c r="G34" s="2"/>
    </row>
    <row r="35" spans="1:8" x14ac:dyDescent="0.45">
      <c r="A35" t="s">
        <v>14</v>
      </c>
      <c r="B35" s="2" cm="1">
        <f t="array" ref="B35:D37">E21:G23</f>
        <v>1</v>
      </c>
      <c r="C35" s="2">
        <v>-9.404192977664147E-2</v>
      </c>
      <c r="D35" s="2">
        <v>-0.8931159571231494</v>
      </c>
      <c r="E35" s="2"/>
      <c r="F35" s="2"/>
      <c r="G35" s="2"/>
    </row>
    <row r="36" spans="1:8" x14ac:dyDescent="0.45">
      <c r="B36" s="2">
        <v>-9.404192977664147E-2</v>
      </c>
      <c r="C36" s="2">
        <v>1</v>
      </c>
      <c r="D36" s="2">
        <v>0.26434950301378868</v>
      </c>
      <c r="E36" s="2"/>
      <c r="F36" s="2"/>
      <c r="G36" s="2"/>
    </row>
    <row r="37" spans="1:8" x14ac:dyDescent="0.45">
      <c r="B37" s="2">
        <v>-0.8931159571231494</v>
      </c>
      <c r="C37" s="2">
        <v>0.26434950301378868</v>
      </c>
      <c r="D37" s="2">
        <v>1</v>
      </c>
      <c r="E37" s="2"/>
      <c r="F37" s="2"/>
      <c r="G37" s="2"/>
    </row>
    <row r="38" spans="1:8" x14ac:dyDescent="0.45">
      <c r="A38" t="s">
        <v>18</v>
      </c>
      <c r="B38" s="2" cm="1">
        <f t="array" ref="B38:D40">E18:G20</f>
        <v>0.83098896931419519</v>
      </c>
      <c r="C38" s="2">
        <v>0.11102453593110595</v>
      </c>
      <c r="D38" s="2">
        <v>-0.91777248919988108</v>
      </c>
      <c r="E38" s="2"/>
      <c r="F38" s="2"/>
      <c r="G38" s="2"/>
    </row>
    <row r="39" spans="1:8" x14ac:dyDescent="0.45">
      <c r="B39" s="2">
        <v>-0.53671134543669929</v>
      </c>
      <c r="C39" s="2">
        <v>0.86105851898683994</v>
      </c>
      <c r="D39" s="2">
        <v>0.66221167764050859</v>
      </c>
      <c r="E39" s="2"/>
      <c r="F39" s="2"/>
      <c r="G39" s="2"/>
    </row>
    <row r="40" spans="1:8" x14ac:dyDescent="0.45">
      <c r="B40" s="2">
        <v>-0.60928086487144306</v>
      </c>
      <c r="C40" s="2">
        <v>-1.4225920115096278E-2</v>
      </c>
      <c r="D40" s="2">
        <v>0.20988572189330523</v>
      </c>
      <c r="E40" s="2"/>
      <c r="F40" s="2"/>
      <c r="G40" s="2"/>
    </row>
    <row r="41" spans="1:8" x14ac:dyDescent="0.45">
      <c r="A41" t="s">
        <v>17</v>
      </c>
      <c r="B41" s="2" cm="1">
        <f t="array" ref="B41:D43">B21:D23</f>
        <v>0.83098896931419519</v>
      </c>
      <c r="C41" s="2">
        <v>-0.53671134543669929</v>
      </c>
      <c r="D41" s="2">
        <v>-0.60928086487144306</v>
      </c>
      <c r="E41" s="2"/>
      <c r="F41" s="2"/>
      <c r="G41" s="2"/>
    </row>
    <row r="42" spans="1:8" x14ac:dyDescent="0.45">
      <c r="B42" s="2">
        <v>0.11102453593110595</v>
      </c>
      <c r="C42" s="2">
        <v>0.86105851898683994</v>
      </c>
      <c r="D42" s="2">
        <v>-1.4225920115096278E-2</v>
      </c>
      <c r="E42" s="2"/>
      <c r="F42" s="2"/>
      <c r="G42" s="2"/>
    </row>
    <row r="43" spans="1:8" x14ac:dyDescent="0.45">
      <c r="B43" s="2">
        <v>-0.91777248919988108</v>
      </c>
      <c r="C43" s="2">
        <v>0.66221167764050859</v>
      </c>
      <c r="D43" s="2">
        <v>0.20988572189330523</v>
      </c>
      <c r="E43" s="2"/>
      <c r="F43" s="2"/>
      <c r="G43" s="2"/>
    </row>
    <row r="44" spans="1:8" x14ac:dyDescent="0.45">
      <c r="A44" t="s">
        <v>15</v>
      </c>
      <c r="B44" s="2" cm="1">
        <f t="array" ref="B44:D46">MINVERSE(_xlfn.ANCHORARRAY(B32))</f>
        <v>1.1094327363770859</v>
      </c>
      <c r="C44" s="2">
        <v>0.33590896179741919</v>
      </c>
      <c r="D44" s="2">
        <v>4.3778751710665934E-2</v>
      </c>
      <c r="E44" s="2"/>
      <c r="F44" s="2"/>
      <c r="G44" s="2"/>
    </row>
    <row r="45" spans="1:8" x14ac:dyDescent="0.45">
      <c r="B45" s="2">
        <v>0.33590896179741919</v>
      </c>
      <c r="C45" s="2">
        <v>1.1556990181776796</v>
      </c>
      <c r="D45" s="2">
        <v>-0.22530177731597206</v>
      </c>
      <c r="E45" s="2"/>
      <c r="F45" s="2"/>
      <c r="G45" s="2"/>
    </row>
    <row r="46" spans="1:8" x14ac:dyDescent="0.45">
      <c r="B46" s="2">
        <v>4.3778751710665934E-2</v>
      </c>
      <c r="C46" s="2">
        <v>-0.22530177731597206</v>
      </c>
      <c r="D46" s="2">
        <v>1.055721572157216</v>
      </c>
      <c r="E46" s="2"/>
      <c r="F46" s="2">
        <v>3</v>
      </c>
      <c r="G46" s="2">
        <v>2</v>
      </c>
      <c r="H46">
        <v>2</v>
      </c>
    </row>
    <row r="47" spans="1:8" x14ac:dyDescent="0.45">
      <c r="A47" t="s">
        <v>16</v>
      </c>
      <c r="B47" s="2" cm="1">
        <f t="array" ref="B47:D49">MINVERSE(_xlfn.ANCHORARRAY(B35))</f>
        <v>5.5356023306452933</v>
      </c>
      <c r="C47" s="2">
        <v>-0.84542696909903536</v>
      </c>
      <c r="D47" s="2">
        <v>5.1674229729031911</v>
      </c>
      <c r="E47" s="2"/>
      <c r="F47" s="2">
        <v>3</v>
      </c>
      <c r="G47" s="2"/>
    </row>
    <row r="48" spans="1:8" x14ac:dyDescent="0.45">
      <c r="B48" s="2">
        <v>-0.84542696909903536</v>
      </c>
      <c r="C48" s="2">
        <v>1.2042490084025206</v>
      </c>
      <c r="D48" s="2">
        <v>-1.0734069435606624</v>
      </c>
      <c r="E48" s="2"/>
      <c r="F48" s="2"/>
      <c r="G48" s="2"/>
    </row>
    <row r="49" spans="1:8" x14ac:dyDescent="0.45">
      <c r="B49" s="2">
        <v>5.1674229729031911</v>
      </c>
      <c r="C49" s="2">
        <v>-1.0734069435606624</v>
      </c>
      <c r="D49" s="2">
        <v>5.8988625063663944</v>
      </c>
      <c r="E49" s="2"/>
      <c r="F49" s="2"/>
      <c r="G49" s="2" cm="1">
        <f t="array" ref="G49:H50">MMULT(F46:F47,G46:H46)</f>
        <v>6</v>
      </c>
      <c r="H49">
        <v>6</v>
      </c>
    </row>
    <row r="50" spans="1:8" x14ac:dyDescent="0.45">
      <c r="B50" s="2"/>
      <c r="C50" s="2"/>
      <c r="D50" s="2"/>
      <c r="E50" s="2"/>
      <c r="F50" s="2"/>
      <c r="G50" s="2">
        <v>6</v>
      </c>
      <c r="H50">
        <v>6</v>
      </c>
    </row>
    <row r="51" spans="1:8" x14ac:dyDescent="0.45">
      <c r="A51" t="s">
        <v>20</v>
      </c>
      <c r="B51" s="2" cm="1">
        <f t="array" ref="B51:D53">MMULT(_xlfn.ANCHORARRAY(B47),_xlfn.ANCHORARRAY(B41))</f>
        <v>-0.23635730622168349</v>
      </c>
      <c r="C51" s="2">
        <v>-0.27705483264278552</v>
      </c>
      <c r="D51" s="2">
        <v>-2.2761412980785538</v>
      </c>
      <c r="E51" s="2"/>
      <c r="F51" s="2"/>
      <c r="G51" s="2"/>
    </row>
    <row r="52" spans="1:8" x14ac:dyDescent="0.45">
      <c r="B52" s="2">
        <v>0.41630406413745835</v>
      </c>
      <c r="C52" s="2">
        <v>0.77985650083378211</v>
      </c>
      <c r="D52" s="2">
        <v>0.27267813349156894</v>
      </c>
      <c r="E52" s="2"/>
      <c r="F52" s="2"/>
      <c r="G52" s="2"/>
    </row>
    <row r="53" spans="1:8" x14ac:dyDescent="0.45">
      <c r="B53" s="2">
        <v>-1.2389167434264676</v>
      </c>
      <c r="C53" s="2">
        <v>0.20861490719167053</v>
      </c>
      <c r="D53" s="2">
        <v>-1.8950547211588735</v>
      </c>
      <c r="E53" s="2"/>
      <c r="F53" s="2"/>
      <c r="G53" s="2"/>
    </row>
    <row r="54" spans="1:8" x14ac:dyDescent="0.45">
      <c r="A54" t="s">
        <v>21</v>
      </c>
      <c r="B54" s="2" cm="1">
        <f t="array" ref="B54:D56">MMULT(_xlfn.ANCHORARRAY(B51),_xlfn.ANCHORARRAY(B44))</f>
        <v>-0.45493435894520884</v>
      </c>
      <c r="C54" s="2">
        <v>0.11323214446657293</v>
      </c>
      <c r="D54" s="2">
        <v>-2.3508979512751393</v>
      </c>
      <c r="E54" s="2"/>
      <c r="F54" s="2"/>
      <c r="G54" s="2"/>
    </row>
    <row r="55" spans="1:8" x14ac:dyDescent="0.45">
      <c r="B55" s="2">
        <v>0.73575965289002132</v>
      </c>
      <c r="C55" s="2">
        <v>0.97968479019869015</v>
      </c>
      <c r="D55" s="2">
        <v>0.13039440435336336</v>
      </c>
      <c r="E55" s="2"/>
      <c r="F55" s="2"/>
      <c r="G55" s="2"/>
    </row>
    <row r="56" spans="1:8" x14ac:dyDescent="0.45">
      <c r="B56" s="2">
        <v>-1.3873823060285346</v>
      </c>
      <c r="C56" s="2">
        <v>0.25189200316893512</v>
      </c>
      <c r="D56" s="2">
        <v>-2.1018896874113446</v>
      </c>
      <c r="E56" s="2"/>
      <c r="F56" s="2"/>
      <c r="G56" s="2"/>
    </row>
    <row r="57" spans="1:8" x14ac:dyDescent="0.45">
      <c r="A57" t="s">
        <v>19</v>
      </c>
      <c r="B57" s="2" cm="1">
        <f t="array" ref="B57:D59">MMULT(_xlfn.ANCHORARRAY(B54),_xlfn.ANCHORARRAY(B38))</f>
        <v>0.9935387263285903</v>
      </c>
      <c r="C57" s="2">
        <v>8.0434312988667822E-2</v>
      </c>
      <c r="D57" s="2">
        <v>-9.1002621913677251E-4</v>
      </c>
      <c r="E57" s="2"/>
      <c r="F57" s="2"/>
      <c r="G57" s="2"/>
    </row>
    <row r="58" spans="1:8" x14ac:dyDescent="0.45">
      <c r="B58" s="2">
        <v>6.1533983078255056E-3</v>
      </c>
      <c r="C58" s="2">
        <v>0.92339832816157685</v>
      </c>
      <c r="D58" s="2">
        <v>8.6666407920219651E-4</v>
      </c>
      <c r="E58" s="2"/>
      <c r="F58" s="2"/>
      <c r="G58" s="2"/>
    </row>
    <row r="59" spans="1:8" x14ac:dyDescent="0.45">
      <c r="B59" s="2">
        <v>-7.4515218465964761E-3</v>
      </c>
      <c r="C59" s="2">
        <v>9.2761593291284486E-2</v>
      </c>
      <c r="D59" s="2">
        <v>0.99895050409598429</v>
      </c>
      <c r="E59" s="2"/>
      <c r="F59" s="2"/>
      <c r="G59" s="2"/>
    </row>
    <row r="61" spans="1:8" x14ac:dyDescent="0.45">
      <c r="A61" t="s">
        <v>22</v>
      </c>
      <c r="B61" s="2" cm="1">
        <f t="array" ref="B61:D63">MMULT(_xlfn.ANCHORARRAY(B44),_xlfn.ANCHORARRAY(B38))</f>
        <v>0.71496665958961747</v>
      </c>
      <c r="C61" s="2">
        <v>0.41178873483816114</v>
      </c>
      <c r="D61" s="2">
        <v>-0.78657547203190226</v>
      </c>
    </row>
    <row r="62" spans="1:8" x14ac:dyDescent="0.45">
      <c r="B62" s="2">
        <v>-0.20386807127842738</v>
      </c>
      <c r="C62" s="2">
        <v>1.035623746671162</v>
      </c>
      <c r="D62" s="2">
        <v>0.40974175548575714</v>
      </c>
    </row>
    <row r="63" spans="1:8" x14ac:dyDescent="0.45">
      <c r="B63" s="2">
        <v>-0.48592927275294484</v>
      </c>
      <c r="C63" s="2">
        <v>-0.20415610985776633</v>
      </c>
      <c r="D63" s="2">
        <v>3.2204482427192815E-2</v>
      </c>
    </row>
    <row r="64" spans="1:8" x14ac:dyDescent="0.45">
      <c r="A64" t="s">
        <v>23</v>
      </c>
      <c r="B64" s="2" cm="1">
        <f t="array" ref="B64:D66">MMULT(_xlfn.ANCHORARRAY(B61),_xlfn.ANCHORARRAY(B47))</f>
        <v>-0.45493435894520928</v>
      </c>
      <c r="C64" s="2">
        <v>0.73575965289002143</v>
      </c>
      <c r="D64" s="2">
        <v>-1.3873823060285346</v>
      </c>
    </row>
    <row r="65" spans="1:4" x14ac:dyDescent="0.45">
      <c r="B65" s="2">
        <v>0.11323214446657248</v>
      </c>
      <c r="C65" s="2">
        <v>0.97968479019869004</v>
      </c>
      <c r="D65" s="2">
        <v>0.25189200316893556</v>
      </c>
    </row>
    <row r="66" spans="1:4" x14ac:dyDescent="0.45">
      <c r="B66" s="2">
        <v>-2.3508979512751393</v>
      </c>
      <c r="C66" s="2">
        <v>0.13039440435336336</v>
      </c>
      <c r="D66" s="2">
        <v>-2.1018896874113451</v>
      </c>
    </row>
    <row r="67" spans="1:4" x14ac:dyDescent="0.45">
      <c r="A67" t="s">
        <v>24</v>
      </c>
      <c r="B67" s="2" cm="1">
        <f t="array" ref="B67:D69">MMULT(_xlfn.ANCHORARRAY(B64),_xlfn.ANCHORARRAY(B41))</f>
        <v>0.97694325244913194</v>
      </c>
      <c r="C67" s="2">
        <v>-4.1040215481294551E-2</v>
      </c>
      <c r="D67" s="2">
        <v>-2.4475795210849305E-2</v>
      </c>
    </row>
    <row r="68" spans="1:4" x14ac:dyDescent="0.45">
      <c r="B68" s="2">
        <v>-2.8315838543812782E-2</v>
      </c>
      <c r="C68" s="2">
        <v>0.9495987839218093</v>
      </c>
      <c r="D68" s="2">
        <v>-3.0058561550920113E-2</v>
      </c>
    </row>
    <row r="69" spans="1:4" x14ac:dyDescent="0.45">
      <c r="B69" s="2">
        <v>-1.0036756822565884E-2</v>
      </c>
      <c r="C69" s="2">
        <v>-1.7865081006012806E-2</v>
      </c>
      <c r="D69" s="2">
        <v>0.98934552221521033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canonical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PIYAPAT JANTAWEE</dc:creator>
  <cp:lastModifiedBy>PIYAPAT JANTAWEE</cp:lastModifiedBy>
  <dcterms:created xsi:type="dcterms:W3CDTF">2025-05-06T04:03:47Z</dcterms:created>
  <dcterms:modified xsi:type="dcterms:W3CDTF">2025-05-06T06:35:51Z</dcterms:modified>
</cp:coreProperties>
</file>