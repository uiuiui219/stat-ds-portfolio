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UIUI\KMUTT\STD 334 Multivariate\"/>
    </mc:Choice>
  </mc:AlternateContent>
  <xr:revisionPtr revIDLastSave="0" documentId="13_ncr:1_{FD0C1D9A-5E3B-4ADF-AF3E-515031724C10}" xr6:coauthVersionLast="47" xr6:coauthVersionMax="47" xr10:uidLastSave="{00000000-0000-0000-0000-000000000000}"/>
  <bookViews>
    <workbookView xWindow="-110" yWindow="-110" windowWidth="19420" windowHeight="11500" xr2:uid="{05668FB9-FC04-4819-ABFE-C7CB80604687}"/>
  </bookViews>
  <sheets>
    <sheet name="cluster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17" i="1"/>
  <c r="H4" i="1"/>
  <c r="I4" i="1"/>
  <c r="G5" i="1"/>
  <c r="H5" i="1"/>
  <c r="I5" i="1"/>
  <c r="I14" i="1" s="1"/>
  <c r="M4" i="1"/>
  <c r="N4" i="1"/>
  <c r="O4" i="1"/>
  <c r="M5" i="1"/>
  <c r="N5" i="1"/>
  <c r="O5" i="1"/>
  <c r="O9" i="1"/>
  <c r="N9" i="1"/>
  <c r="O8" i="1"/>
  <c r="I27" i="1"/>
  <c r="M9" i="1"/>
  <c r="A9" i="1"/>
  <c r="B9" i="1"/>
  <c r="C9" i="1"/>
  <c r="N27" i="1"/>
  <c r="N22" i="1"/>
  <c r="N13" i="1"/>
  <c r="N8" i="1"/>
  <c r="N17" i="1"/>
  <c r="M22" i="1"/>
  <c r="H27" i="1"/>
  <c r="H23" i="1"/>
  <c r="H22" i="1"/>
  <c r="H17" i="1"/>
  <c r="H13" i="1"/>
  <c r="H14" i="1"/>
  <c r="H8" i="1"/>
  <c r="H18" i="1"/>
  <c r="G23" i="1"/>
  <c r="O23" i="1" l="1"/>
  <c r="O14" i="1"/>
  <c r="N14" i="1"/>
  <c r="N23" i="1"/>
  <c r="O28" i="1"/>
  <c r="N28" i="1"/>
  <c r="N18" i="1"/>
  <c r="O22" i="1"/>
  <c r="P22" i="1" s="1"/>
  <c r="O27" i="1"/>
  <c r="O13" i="1"/>
  <c r="O17" i="1"/>
  <c r="I17" i="1"/>
  <c r="J17" i="1" s="1"/>
  <c r="I8" i="1"/>
  <c r="I13" i="1"/>
  <c r="I22" i="1"/>
  <c r="I23" i="1"/>
  <c r="O18" i="1"/>
  <c r="J23" i="1"/>
  <c r="G28" i="1"/>
  <c r="H28" i="1"/>
  <c r="G18" i="1"/>
  <c r="I28" i="1"/>
  <c r="G9" i="1"/>
  <c r="I18" i="1"/>
  <c r="H9" i="1"/>
  <c r="I9" i="1"/>
  <c r="P9" i="1"/>
  <c r="G14" i="1"/>
  <c r="A11" i="1"/>
  <c r="A12" i="1" s="1"/>
  <c r="M23" i="1"/>
  <c r="P23" i="1" s="1"/>
  <c r="M18" i="1"/>
  <c r="P18" i="1" s="1"/>
  <c r="M14" i="1"/>
  <c r="P14" i="1" s="1"/>
  <c r="M28" i="1"/>
  <c r="P28" i="1" s="1"/>
  <c r="M17" i="1"/>
  <c r="P17" i="1" s="1"/>
  <c r="M8" i="1"/>
  <c r="P8" i="1" s="1"/>
  <c r="M27" i="1"/>
  <c r="M13" i="1"/>
  <c r="G27" i="1"/>
  <c r="J27" i="1" s="1"/>
  <c r="G22" i="1"/>
  <c r="J22" i="1" s="1"/>
  <c r="G13" i="1"/>
  <c r="J13" i="1" s="1"/>
  <c r="G8" i="1"/>
  <c r="J8" i="1" s="1"/>
  <c r="P13" i="1" l="1"/>
  <c r="P27" i="1"/>
  <c r="J14" i="1"/>
  <c r="J9" i="1"/>
  <c r="J18" i="1"/>
  <c r="J28" i="1"/>
</calcChain>
</file>

<file path=xl/sharedStrings.xml><?xml version="1.0" encoding="utf-8"?>
<sst xmlns="http://schemas.openxmlformats.org/spreadsheetml/2006/main" count="43" uniqueCount="10">
  <si>
    <t>y1</t>
  </si>
  <si>
    <t>y2</t>
  </si>
  <si>
    <t>y3</t>
  </si>
  <si>
    <t>กลุ่ม 1</t>
  </si>
  <si>
    <t>กลุ่ม 2</t>
  </si>
  <si>
    <t>1 -&gt; กลุ่ม 1</t>
  </si>
  <si>
    <t>1 -&gt; กลุ่ม 2</t>
  </si>
  <si>
    <t>sum</t>
  </si>
  <si>
    <t>2 -&gt; กลุ่ม 1</t>
  </si>
  <si>
    <t>2 -&gt; กลุ่ม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</si>
</sst>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C82A1-0154-45E9-9B1C-69530CF56069}">
  <dimension ref="A1:P28"/>
  <sheetViews>
    <sheetView tabSelected="1" topLeftCell="B1" workbookViewId="0">
      <selection activeCell="J28" sqref="J28"/>
    </sheetView>
  </sheetViews>
  <sheetFormatPr defaultRowHeight="16.5" x14ac:dyDescent="0.45"/>
  <cols>
    <col min="6" max="6" width="9.33203125" bestFit="1" customWidth="1"/>
    <col min="12" max="12" width="9.33203125" bestFit="1" customWidth="1"/>
  </cols>
  <sheetData>
    <row r="1" spans="1:16" x14ac:dyDescent="0.45">
      <c r="A1" s="1" t="s">
        <v>0</v>
      </c>
      <c r="B1" s="1" t="s">
        <v>1</v>
      </c>
      <c r="C1" s="1" t="s">
        <v>2</v>
      </c>
    </row>
    <row r="2" spans="1:16" x14ac:dyDescent="0.45">
      <c r="A2" s="1">
        <v>26</v>
      </c>
      <c r="B2" s="1">
        <v>35</v>
      </c>
      <c r="C2" s="1">
        <v>35</v>
      </c>
    </row>
    <row r="3" spans="1:16" x14ac:dyDescent="0.45">
      <c r="A3" s="1">
        <v>17</v>
      </c>
      <c r="B3" s="1">
        <v>28</v>
      </c>
      <c r="C3" s="1">
        <v>20</v>
      </c>
      <c r="G3" t="s">
        <v>0</v>
      </c>
      <c r="H3" t="s">
        <v>1</v>
      </c>
      <c r="I3" t="s">
        <v>2</v>
      </c>
      <c r="M3" t="s">
        <v>0</v>
      </c>
      <c r="N3" t="s">
        <v>1</v>
      </c>
      <c r="O3" t="s">
        <v>2</v>
      </c>
    </row>
    <row r="4" spans="1:16" x14ac:dyDescent="0.45">
      <c r="A4" s="1">
        <v>25</v>
      </c>
      <c r="B4" s="1">
        <v>9</v>
      </c>
      <c r="C4" s="1">
        <v>11</v>
      </c>
      <c r="F4" t="s">
        <v>3</v>
      </c>
      <c r="G4">
        <f>AVERAGE(A2:A3)</f>
        <v>21.5</v>
      </c>
      <c r="H4">
        <f t="shared" ref="H4:I4" si="0">AVERAGE(B2:B3)</f>
        <v>31.5</v>
      </c>
      <c r="I4">
        <f t="shared" si="0"/>
        <v>27.5</v>
      </c>
      <c r="L4" t="s">
        <v>3</v>
      </c>
      <c r="M4">
        <f>AVERAGE(A2,A5)</f>
        <v>29.5</v>
      </c>
      <c r="N4">
        <f t="shared" ref="N4:O4" si="1">AVERAGE(B2,B5)</f>
        <v>33</v>
      </c>
      <c r="O4">
        <f t="shared" si="1"/>
        <v>29</v>
      </c>
    </row>
    <row r="5" spans="1:16" x14ac:dyDescent="0.45">
      <c r="A5" s="1">
        <v>33</v>
      </c>
      <c r="B5" s="1">
        <v>31</v>
      </c>
      <c r="C5" s="1">
        <v>23</v>
      </c>
      <c r="F5" t="s">
        <v>4</v>
      </c>
      <c r="G5">
        <f>AVERAGE(A4:A6)</f>
        <v>27.666666666666668</v>
      </c>
      <c r="H5">
        <f t="shared" ref="H5:I5" si="2">AVERAGE(B4:B6)</f>
        <v>27</v>
      </c>
      <c r="I5">
        <f t="shared" si="2"/>
        <v>22.333333333333332</v>
      </c>
      <c r="L5" t="s">
        <v>4</v>
      </c>
      <c r="M5">
        <f>AVERAGE(A3,A4,A6)</f>
        <v>22.333333333333332</v>
      </c>
      <c r="N5">
        <f t="shared" ref="N5:O5" si="3">AVERAGE(B3,B4,B6)</f>
        <v>26</v>
      </c>
      <c r="O5">
        <f t="shared" si="3"/>
        <v>21.333333333333332</v>
      </c>
    </row>
    <row r="6" spans="1:16" x14ac:dyDescent="0.45">
      <c r="A6" s="1">
        <v>25</v>
      </c>
      <c r="B6" s="1">
        <v>41</v>
      </c>
      <c r="C6" s="1">
        <v>33</v>
      </c>
    </row>
    <row r="7" spans="1:16" x14ac:dyDescent="0.45">
      <c r="J7" t="s">
        <v>7</v>
      </c>
      <c r="P7" t="s">
        <v>7</v>
      </c>
    </row>
    <row r="8" spans="1:16" x14ac:dyDescent="0.45">
      <c r="F8" t="s">
        <v>5</v>
      </c>
      <c r="G8">
        <f>(A2-G4)^2</f>
        <v>20.25</v>
      </c>
      <c r="H8">
        <f>(B2-H4)^2</f>
        <v>12.25</v>
      </c>
      <c r="I8">
        <f>(C2-I4)^2</f>
        <v>56.25</v>
      </c>
      <c r="J8">
        <f>SUM(G8:I8)</f>
        <v>88.75</v>
      </c>
      <c r="L8" t="s">
        <v>5</v>
      </c>
      <c r="M8">
        <f>(A2-M4)^2</f>
        <v>12.25</v>
      </c>
      <c r="N8">
        <f t="shared" ref="N8:O8" si="4">(B2-N4)^2</f>
        <v>4</v>
      </c>
      <c r="O8">
        <f t="shared" si="4"/>
        <v>36</v>
      </c>
      <c r="P8">
        <f>SUM(M8:O8)</f>
        <v>52.25</v>
      </c>
    </row>
    <row r="9" spans="1:16" x14ac:dyDescent="0.45">
      <c r="A9">
        <f>(A2-A6)^2</f>
        <v>1</v>
      </c>
      <c r="B9">
        <f t="shared" ref="B9:C9" si="5">(B2-B6)^2</f>
        <v>36</v>
      </c>
      <c r="C9">
        <f t="shared" si="5"/>
        <v>4</v>
      </c>
      <c r="F9" t="s">
        <v>6</v>
      </c>
      <c r="G9">
        <f>(A2-G5)^2</f>
        <v>2.7777777777777817</v>
      </c>
      <c r="H9">
        <f t="shared" ref="H9" si="6">(B2-H5)^2</f>
        <v>64</v>
      </c>
      <c r="I9">
        <f>(C2-I5)^2</f>
        <v>160.44444444444449</v>
      </c>
      <c r="J9">
        <f>SUM(G9:I9)</f>
        <v>227.22222222222229</v>
      </c>
      <c r="L9" t="s">
        <v>6</v>
      </c>
      <c r="M9">
        <f>(A3-M5)^2</f>
        <v>28.444444444444432</v>
      </c>
      <c r="N9">
        <f t="shared" ref="N9:O9" si="7">(B3-N5)^2</f>
        <v>4</v>
      </c>
      <c r="O9">
        <f t="shared" si="7"/>
        <v>1.7777777777777746</v>
      </c>
      <c r="P9">
        <f>SUM(M9:O9)</f>
        <v>34.2222222222222</v>
      </c>
    </row>
    <row r="11" spans="1:16" x14ac:dyDescent="0.45">
      <c r="A11">
        <f>SUM(A9:C9)</f>
        <v>41</v>
      </c>
    </row>
    <row r="12" spans="1:16" x14ac:dyDescent="0.45">
      <c r="A12">
        <f>SQRT(A11)</f>
        <v>6.4031242374328485</v>
      </c>
      <c r="J12" t="s">
        <v>7</v>
      </c>
      <c r="P12" t="s">
        <v>7</v>
      </c>
    </row>
    <row r="13" spans="1:16" x14ac:dyDescent="0.45">
      <c r="F13" t="s">
        <v>8</v>
      </c>
      <c r="G13">
        <f>(A3-G4)^2</f>
        <v>20.25</v>
      </c>
      <c r="H13">
        <f t="shared" ref="H13:I13" si="8">(B3-H4)^2</f>
        <v>12.25</v>
      </c>
      <c r="I13">
        <f t="shared" si="8"/>
        <v>56.25</v>
      </c>
      <c r="J13">
        <f>SUM(G13:I13)</f>
        <v>88.75</v>
      </c>
      <c r="L13" t="s">
        <v>8</v>
      </c>
      <c r="M13">
        <f>(A3-M4)^2</f>
        <v>156.25</v>
      </c>
      <c r="N13">
        <f t="shared" ref="N13:O13" si="9">(B3-N4)^2</f>
        <v>25</v>
      </c>
      <c r="O13">
        <f t="shared" si="9"/>
        <v>81</v>
      </c>
      <c r="P13">
        <f>SUM(M13:O13)</f>
        <v>262.25</v>
      </c>
    </row>
    <row r="14" spans="1:16" x14ac:dyDescent="0.45">
      <c r="F14" t="s">
        <v>9</v>
      </c>
      <c r="G14">
        <f>(A3-G5)^2</f>
        <v>113.7777777777778</v>
      </c>
      <c r="H14">
        <f t="shared" ref="H14:I14" si="10">(B3-H5)^2</f>
        <v>1</v>
      </c>
      <c r="I14">
        <f>(C3-I5)^2</f>
        <v>5.4444444444444393</v>
      </c>
      <c r="J14">
        <f>SUM(G14:I14)</f>
        <v>120.22222222222224</v>
      </c>
      <c r="L14" t="s">
        <v>9</v>
      </c>
      <c r="M14">
        <f>(A3-M5)^2</f>
        <v>28.444444444444432</v>
      </c>
      <c r="N14">
        <f t="shared" ref="N14:O14" si="11">(B3-N5)^2</f>
        <v>4</v>
      </c>
      <c r="O14">
        <f t="shared" si="11"/>
        <v>1.7777777777777746</v>
      </c>
      <c r="P14">
        <f>SUM(M14:O14)</f>
        <v>34.2222222222222</v>
      </c>
    </row>
    <row r="16" spans="1:16" x14ac:dyDescent="0.45">
      <c r="J16" t="s">
        <v>7</v>
      </c>
      <c r="P16" t="s">
        <v>7</v>
      </c>
    </row>
    <row r="17" spans="6:16" x14ac:dyDescent="0.45">
      <c r="F17" t="s">
        <v>5</v>
      </c>
      <c r="G17">
        <f>(A4-G4)^2</f>
        <v>12.25</v>
      </c>
      <c r="H17">
        <f t="shared" ref="H17:I17" si="12">(B4-H4)^2</f>
        <v>506.25</v>
      </c>
      <c r="I17">
        <f t="shared" si="12"/>
        <v>272.25</v>
      </c>
      <c r="J17">
        <f>SUM(G17:I17)</f>
        <v>790.75</v>
      </c>
      <c r="L17" t="s">
        <v>5</v>
      </c>
      <c r="M17">
        <f>(A4-M4)^2</f>
        <v>20.25</v>
      </c>
      <c r="N17">
        <f t="shared" ref="N17:O17" si="13">(B4-N4)^2</f>
        <v>576</v>
      </c>
      <c r="O17">
        <f t="shared" si="13"/>
        <v>324</v>
      </c>
      <c r="P17">
        <f>SUM(M17:O17)</f>
        <v>920.25</v>
      </c>
    </row>
    <row r="18" spans="6:16" x14ac:dyDescent="0.45">
      <c r="F18" t="s">
        <v>6</v>
      </c>
      <c r="G18">
        <f>(A4-G5)^2</f>
        <v>7.1111111111111178</v>
      </c>
      <c r="H18">
        <f t="shared" ref="H18:I18" si="14">(B4-H5)^2</f>
        <v>324</v>
      </c>
      <c r="I18">
        <f t="shared" si="14"/>
        <v>128.44444444444443</v>
      </c>
      <c r="J18">
        <f>SUM(G18:I18)</f>
        <v>459.55555555555554</v>
      </c>
      <c r="L18" t="s">
        <v>6</v>
      </c>
      <c r="M18">
        <f>(A4-M5)^2</f>
        <v>7.1111111111111178</v>
      </c>
      <c r="N18">
        <f t="shared" ref="N18:O18" si="15">(B4-N5)^2</f>
        <v>289</v>
      </c>
      <c r="O18">
        <f t="shared" si="15"/>
        <v>106.77777777777776</v>
      </c>
      <c r="P18">
        <f>SUM(M18:O18)</f>
        <v>402.88888888888891</v>
      </c>
    </row>
    <row r="21" spans="6:16" x14ac:dyDescent="0.45">
      <c r="J21" t="s">
        <v>7</v>
      </c>
      <c r="P21" t="s">
        <v>7</v>
      </c>
    </row>
    <row r="22" spans="6:16" x14ac:dyDescent="0.45">
      <c r="F22" t="s">
        <v>5</v>
      </c>
      <c r="G22">
        <f>(A5-G4)^2</f>
        <v>132.25</v>
      </c>
      <c r="H22">
        <f t="shared" ref="H22:I22" si="16">(B5-H4)^2</f>
        <v>0.25</v>
      </c>
      <c r="I22">
        <f t="shared" si="16"/>
        <v>20.25</v>
      </c>
      <c r="J22">
        <f>SUM(G22:I22)</f>
        <v>152.75</v>
      </c>
      <c r="L22" t="s">
        <v>5</v>
      </c>
      <c r="M22">
        <f>(A5-M4)^2</f>
        <v>12.25</v>
      </c>
      <c r="N22">
        <f t="shared" ref="N22:O22" si="17">(B5-N4)^2</f>
        <v>4</v>
      </c>
      <c r="O22">
        <f t="shared" si="17"/>
        <v>36</v>
      </c>
      <c r="P22">
        <f>SUM(M22:O22)</f>
        <v>52.25</v>
      </c>
    </row>
    <row r="23" spans="6:16" x14ac:dyDescent="0.45">
      <c r="F23" t="s">
        <v>6</v>
      </c>
      <c r="G23">
        <f>(A5-G5)^2</f>
        <v>28.444444444444432</v>
      </c>
      <c r="H23">
        <f t="shared" ref="H23:I23" si="18">(B5-H5)^2</f>
        <v>16</v>
      </c>
      <c r="I23">
        <f t="shared" si="18"/>
        <v>0.44444444444444603</v>
      </c>
      <c r="J23">
        <f>SUM(G23:I23)</f>
        <v>44.888888888888872</v>
      </c>
      <c r="L23" t="s">
        <v>6</v>
      </c>
      <c r="M23">
        <f>(A5-M5)^2</f>
        <v>113.7777777777778</v>
      </c>
      <c r="N23">
        <f t="shared" ref="N23:O23" si="19">(B5-N5)^2</f>
        <v>25</v>
      </c>
      <c r="O23">
        <f t="shared" si="19"/>
        <v>2.7777777777777817</v>
      </c>
      <c r="P23">
        <f>SUM(M23:O23)</f>
        <v>141.55555555555557</v>
      </c>
    </row>
    <row r="26" spans="6:16" x14ac:dyDescent="0.45">
      <c r="J26" t="s">
        <v>7</v>
      </c>
      <c r="P26" t="s">
        <v>7</v>
      </c>
    </row>
    <row r="27" spans="6:16" x14ac:dyDescent="0.45">
      <c r="F27" t="s">
        <v>5</v>
      </c>
      <c r="G27">
        <f>(A6-G4)^2</f>
        <v>12.25</v>
      </c>
      <c r="H27">
        <f t="shared" ref="H27:I27" si="20">(B6-H4)^2</f>
        <v>90.25</v>
      </c>
      <c r="I27">
        <f t="shared" si="20"/>
        <v>30.25</v>
      </c>
      <c r="J27">
        <f>SUM(G27:I27)</f>
        <v>132.75</v>
      </c>
      <c r="L27" t="s">
        <v>5</v>
      </c>
      <c r="M27">
        <f>(A6-M4)^2</f>
        <v>20.25</v>
      </c>
      <c r="N27">
        <f t="shared" ref="N27:O27" si="21">(B6-N4)^2</f>
        <v>64</v>
      </c>
      <c r="O27">
        <f t="shared" si="21"/>
        <v>16</v>
      </c>
      <c r="P27">
        <f>SUM(M27:O27)</f>
        <v>100.25</v>
      </c>
    </row>
    <row r="28" spans="6:16" x14ac:dyDescent="0.45">
      <c r="F28" t="s">
        <v>6</v>
      </c>
      <c r="G28">
        <f>(A6-G5)^2</f>
        <v>7.1111111111111178</v>
      </c>
      <c r="H28">
        <f t="shared" ref="H28" si="22">(B6-H5)^2</f>
        <v>196</v>
      </c>
      <c r="I28">
        <f>(C6-I5)^2</f>
        <v>113.7777777777778</v>
      </c>
      <c r="J28">
        <f>SUM(G28:I28)</f>
        <v>316.88888888888891</v>
      </c>
      <c r="L28" t="s">
        <v>6</v>
      </c>
      <c r="M28">
        <f>(A6-M5)^2</f>
        <v>7.1111111111111178</v>
      </c>
      <c r="N28">
        <f t="shared" ref="N28:O28" si="23">(B6-N5)^2</f>
        <v>225</v>
      </c>
      <c r="O28">
        <f t="shared" si="23"/>
        <v>136.11111111111114</v>
      </c>
      <c r="P28">
        <f>SUM(M28:O28)</f>
        <v>368.22222222222229</v>
      </c>
    </row>
  </sheetData>
  <pageMargins left="0.7" right="0.7" top="0.75" bottom="0.75" header="0.3" footer="0.3"/>
  <ignoredErrors>
    <ignoredError sqref="G4:I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349FB-EAEB-4E8F-878B-CF3A0CD6245F}">
  <dimension ref="A1"/>
  <sheetViews>
    <sheetView workbookViewId="0"/>
  </sheetViews>
  <sheetFormatPr defaultRowHeight="16.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PIYAPAT JANTAWEE</dc:creator>
  <cp:lastModifiedBy>PIYAPAT JANTAWEE</cp:lastModifiedBy>
  <dcterms:created xsi:type="dcterms:W3CDTF">2025-04-22T03:46:02Z</dcterms:created>
  <dcterms:modified xsi:type="dcterms:W3CDTF">2025-05-06T08:47:42Z</dcterms:modified>
</cp:coreProperties>
</file>