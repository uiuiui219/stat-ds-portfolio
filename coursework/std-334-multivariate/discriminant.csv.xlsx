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UIUI\KMUTT\STD 334 Multivariate\"/>
    </mc:Choice>
  </mc:AlternateContent>
  <xr:revisionPtr revIDLastSave="0" documentId="13_ncr:9_{9B088D83-57F2-437D-BDD0-BEC5C20EC1CC}" xr6:coauthVersionLast="47" xr6:coauthVersionMax="47" xr10:uidLastSave="{00000000-0000-0000-0000-000000000000}"/>
  <bookViews>
    <workbookView xWindow="-110" yWindow="-110" windowWidth="19420" windowHeight="11500" xr2:uid="{F92A15BA-8035-44E9-A668-6B8BA96A0B04}"/>
  </bookViews>
  <sheets>
    <sheet name="discriminant" sheetId="1" r:id="rId1"/>
  </sheets>
  <calcPr calcId="0"/>
</workbook>
</file>

<file path=xl/calcChain.xml><?xml version="1.0" encoding="utf-8"?>
<calcChain xmlns="http://schemas.openxmlformats.org/spreadsheetml/2006/main">
  <c r="Q34" i="1" l="1"/>
  <c r="P37" i="1" s="1"/>
  <c r="P34" i="1"/>
  <c r="P36" i="1" s="1"/>
  <c r="J34" i="1"/>
  <c r="I37" i="1" s="1"/>
  <c r="I34" i="1"/>
  <c r="I36" i="1" s="1"/>
  <c r="B45" i="1"/>
  <c r="B40" i="1"/>
  <c r="B38" i="1" a="1"/>
  <c r="B38" i="1" s="1"/>
  <c r="B37" i="1"/>
  <c r="B36" i="1"/>
  <c r="B35" i="1" a="1"/>
  <c r="B35" i="1" s="1"/>
  <c r="Q10" i="1"/>
  <c r="Q13" i="1" s="1"/>
  <c r="Q21" i="1" s="1"/>
  <c r="Q9" i="1"/>
  <c r="Q12" i="1" s="1"/>
  <c r="Q8" i="1"/>
  <c r="P12" i="1" s="1"/>
  <c r="P20" i="1" s="1"/>
  <c r="Q6" i="1"/>
  <c r="P6" i="1"/>
  <c r="J10" i="1"/>
  <c r="J13" i="1" s="1"/>
  <c r="J21" i="1" s="1"/>
  <c r="J9" i="1"/>
  <c r="J12" i="1" s="1"/>
  <c r="J8" i="1"/>
  <c r="I12" i="1" s="1"/>
  <c r="I20" i="1" s="1"/>
  <c r="J6" i="1"/>
  <c r="I6" i="1"/>
  <c r="C13" i="1"/>
  <c r="C21" i="1" s="1"/>
  <c r="G27" i="1" s="1"/>
  <c r="C10" i="1"/>
  <c r="C9" i="1"/>
  <c r="C12" i="1" s="1"/>
  <c r="C8" i="1"/>
  <c r="B12" i="1" s="1"/>
  <c r="B20" i="1" s="1"/>
  <c r="F26" i="1" s="1"/>
  <c r="C6" i="1"/>
  <c r="C34" i="1" s="1"/>
  <c r="B6" i="1"/>
  <c r="B34" i="1" s="1"/>
  <c r="P35" i="1" l="1" a="1"/>
  <c r="P35" i="1" s="1"/>
  <c r="P38" i="1" s="1" a="1"/>
  <c r="P38" i="1" s="1"/>
  <c r="P40" i="1" s="1"/>
  <c r="P45" i="1" s="1"/>
  <c r="I35" i="1" a="1"/>
  <c r="I35" i="1" s="1"/>
  <c r="I38" i="1" s="1" a="1"/>
  <c r="I38" i="1" s="1"/>
  <c r="I40" i="1" s="1"/>
  <c r="I45" i="1" s="1"/>
  <c r="C20" i="1"/>
  <c r="B13" i="1"/>
  <c r="B21" i="1" s="1"/>
  <c r="P13" i="1"/>
  <c r="P21" i="1" s="1"/>
  <c r="Q20" i="1"/>
  <c r="J20" i="1"/>
  <c r="I13" i="1"/>
  <c r="I21" i="1" s="1"/>
  <c r="F27" i="1" l="1"/>
  <c r="G26" i="1"/>
  <c r="F31" i="1" s="1" a="1"/>
  <c r="F3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<sst xmlns="http://schemas.openxmlformats.org/spreadsheetml/2006/main" count="61" uniqueCount="28">
  <si>
    <t>id</t>
  </si>
  <si>
    <t>x1</t>
  </si>
  <si>
    <t>x2</t>
  </si>
  <si>
    <t>group</t>
  </si>
  <si>
    <t>xbar</t>
  </si>
  <si>
    <t>s11</t>
  </si>
  <si>
    <t>s12</t>
  </si>
  <si>
    <t>s22</t>
  </si>
  <si>
    <t>matrix</t>
  </si>
  <si>
    <t>N</t>
  </si>
  <si>
    <t>k</t>
  </si>
  <si>
    <t>n1</t>
  </si>
  <si>
    <t>2*(matrix s1)</t>
  </si>
  <si>
    <t>spl</t>
  </si>
  <si>
    <t>(spl)^-1</t>
  </si>
  <si>
    <t>xbar'</t>
  </si>
  <si>
    <t>c1'</t>
  </si>
  <si>
    <t>c2'</t>
  </si>
  <si>
    <t>c3'</t>
  </si>
  <si>
    <t>xbar' * Spl-1 * xbar</t>
  </si>
  <si>
    <t>c10'</t>
  </si>
  <si>
    <t>c20'</t>
  </si>
  <si>
    <t>c30'</t>
  </si>
  <si>
    <t>w1</t>
  </si>
  <si>
    <t>w2</t>
  </si>
  <si>
    <t>w3</t>
  </si>
  <si>
    <t>2*(matrix s2)</t>
  </si>
  <si>
    <t>2*(matrix s3)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</si>
</sst>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F2A7-11D0-416D-956B-02065422425C}">
  <dimension ref="A1:R45"/>
  <sheetViews>
    <sheetView tabSelected="1" topLeftCell="A5" zoomScale="77" workbookViewId="0">
      <selection activeCell="E13" sqref="E13"/>
    </sheetView>
  </sheetViews>
  <sheetFormatPr defaultRowHeight="16.5" x14ac:dyDescent="0.45"/>
  <cols>
    <col min="1" max="1" width="16" bestFit="1" customWidth="1"/>
    <col min="8" max="8" width="16" bestFit="1" customWidth="1"/>
    <col min="15" max="15" width="16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H1" t="s">
        <v>0</v>
      </c>
      <c r="I1" t="s">
        <v>1</v>
      </c>
      <c r="J1" t="s">
        <v>2</v>
      </c>
      <c r="K1" t="s">
        <v>3</v>
      </c>
      <c r="O1" t="s">
        <v>0</v>
      </c>
      <c r="P1" t="s">
        <v>1</v>
      </c>
      <c r="Q1" t="s">
        <v>2</v>
      </c>
      <c r="R1" t="s">
        <v>3</v>
      </c>
    </row>
    <row r="2" spans="1:18" x14ac:dyDescent="0.45">
      <c r="A2">
        <v>1</v>
      </c>
      <c r="B2">
        <v>65</v>
      </c>
      <c r="C2">
        <v>89</v>
      </c>
      <c r="D2">
        <v>1</v>
      </c>
      <c r="H2">
        <v>4</v>
      </c>
      <c r="I2">
        <v>26</v>
      </c>
      <c r="J2">
        <v>56</v>
      </c>
      <c r="K2">
        <v>2</v>
      </c>
      <c r="O2">
        <v>7</v>
      </c>
      <c r="P2">
        <v>78</v>
      </c>
      <c r="Q2">
        <v>91</v>
      </c>
      <c r="R2">
        <v>3</v>
      </c>
    </row>
    <row r="3" spans="1:18" x14ac:dyDescent="0.45">
      <c r="A3">
        <v>2</v>
      </c>
      <c r="B3">
        <v>60</v>
      </c>
      <c r="C3">
        <v>81</v>
      </c>
      <c r="D3">
        <v>1</v>
      </c>
      <c r="H3">
        <v>5</v>
      </c>
      <c r="I3">
        <v>24</v>
      </c>
      <c r="J3">
        <v>59</v>
      </c>
      <c r="K3">
        <v>2</v>
      </c>
      <c r="O3">
        <v>8</v>
      </c>
      <c r="P3">
        <v>74</v>
      </c>
      <c r="Q3">
        <v>93</v>
      </c>
      <c r="R3">
        <v>3</v>
      </c>
    </row>
    <row r="4" spans="1:18" x14ac:dyDescent="0.45">
      <c r="A4">
        <v>3</v>
      </c>
      <c r="B4">
        <v>63</v>
      </c>
      <c r="C4">
        <v>83</v>
      </c>
      <c r="D4">
        <v>1</v>
      </c>
      <c r="H4">
        <v>6</v>
      </c>
      <c r="I4">
        <v>29</v>
      </c>
      <c r="J4">
        <v>51</v>
      </c>
      <c r="K4">
        <v>2</v>
      </c>
      <c r="O4">
        <v>9</v>
      </c>
      <c r="P4">
        <v>72</v>
      </c>
      <c r="Q4">
        <v>94</v>
      </c>
      <c r="R4">
        <v>3</v>
      </c>
    </row>
    <row r="6" spans="1:18" x14ac:dyDescent="0.45">
      <c r="A6" t="s">
        <v>4</v>
      </c>
      <c r="B6" s="1">
        <f>AVERAGE(B2:B4)</f>
        <v>62.666666666666664</v>
      </c>
      <c r="C6" s="1">
        <f>AVERAGE(C2:C4)</f>
        <v>84.333333333333329</v>
      </c>
      <c r="H6" t="s">
        <v>4</v>
      </c>
      <c r="I6" s="1">
        <f>AVERAGE(I2:I4)</f>
        <v>26.333333333333332</v>
      </c>
      <c r="J6" s="1">
        <f>AVERAGE(J2:J4)</f>
        <v>55.333333333333336</v>
      </c>
      <c r="O6" t="s">
        <v>4</v>
      </c>
      <c r="P6" s="1">
        <f>AVERAGE(P2:P4)</f>
        <v>74.666666666666671</v>
      </c>
      <c r="Q6" s="1">
        <f>AVERAGE(Q2:Q4)</f>
        <v>92.666666666666671</v>
      </c>
    </row>
    <row r="8" spans="1:18" x14ac:dyDescent="0.45">
      <c r="B8" t="s">
        <v>5</v>
      </c>
      <c r="C8" s="1">
        <f>_xlfn.COVARIANCE.S(B2:B4,B2:B4)</f>
        <v>6.333333333333333</v>
      </c>
      <c r="I8" t="s">
        <v>5</v>
      </c>
      <c r="J8" s="1">
        <f>_xlfn.COVARIANCE.S(I2:I4,I2:I4)</f>
        <v>6.3333333333333339</v>
      </c>
      <c r="P8" t="s">
        <v>5</v>
      </c>
      <c r="Q8" s="1">
        <f>_xlfn.COVARIANCE.S(P2:P4,P2:P4)</f>
        <v>9.3333333333333321</v>
      </c>
    </row>
    <row r="9" spans="1:18" x14ac:dyDescent="0.45">
      <c r="B9" t="s">
        <v>6</v>
      </c>
      <c r="C9" s="1">
        <f>_xlfn.COVARIANCE.S(B2:B4,C2:C4)</f>
        <v>9.6666666666666661</v>
      </c>
      <c r="I9" t="s">
        <v>6</v>
      </c>
      <c r="J9" s="1">
        <f>_xlfn.COVARIANCE.S(I2:I4,J2:J4)</f>
        <v>-10.166666666666668</v>
      </c>
      <c r="P9" t="s">
        <v>6</v>
      </c>
      <c r="Q9" s="1">
        <f>_xlfn.COVARIANCE.S(P2:P4,Q2:Q4)</f>
        <v>-4.6666666666666661</v>
      </c>
    </row>
    <row r="10" spans="1:18" x14ac:dyDescent="0.45">
      <c r="B10" t="s">
        <v>7</v>
      </c>
      <c r="C10" s="1">
        <f>_xlfn.COVARIANCE.S(C2:C4,C2:C4)</f>
        <v>17.333333333333332</v>
      </c>
      <c r="I10" t="s">
        <v>7</v>
      </c>
      <c r="J10" s="1">
        <f>_xlfn.COVARIANCE.S(J2:J4,J2:J4)</f>
        <v>16.333333333333336</v>
      </c>
      <c r="P10" t="s">
        <v>7</v>
      </c>
      <c r="Q10" s="1">
        <f>_xlfn.COVARIANCE.S(Q2:Q4,Q2:Q4)</f>
        <v>2.3333333333333335</v>
      </c>
    </row>
    <row r="12" spans="1:18" x14ac:dyDescent="0.45">
      <c r="A12" t="s">
        <v>8</v>
      </c>
      <c r="B12" s="1">
        <f>C8</f>
        <v>6.333333333333333</v>
      </c>
      <c r="C12" s="1">
        <f>C9</f>
        <v>9.6666666666666661</v>
      </c>
      <c r="H12" t="s">
        <v>8</v>
      </c>
      <c r="I12" s="1">
        <f>J8</f>
        <v>6.3333333333333339</v>
      </c>
      <c r="J12" s="1">
        <f>J9</f>
        <v>-10.166666666666668</v>
      </c>
      <c r="O12" t="s">
        <v>8</v>
      </c>
      <c r="P12" s="1">
        <f>Q8</f>
        <v>9.3333333333333321</v>
      </c>
      <c r="Q12" s="1">
        <f>Q9</f>
        <v>-4.6666666666666661</v>
      </c>
    </row>
    <row r="13" spans="1:18" x14ac:dyDescent="0.45">
      <c r="B13" s="1">
        <f>C12</f>
        <v>9.6666666666666661</v>
      </c>
      <c r="C13" s="1">
        <f>C10</f>
        <v>17.333333333333332</v>
      </c>
      <c r="I13" s="1">
        <f>J12</f>
        <v>-10.166666666666668</v>
      </c>
      <c r="J13" s="1">
        <f>J10</f>
        <v>16.333333333333336</v>
      </c>
      <c r="P13" s="1">
        <f>Q12</f>
        <v>-4.6666666666666661</v>
      </c>
      <c r="Q13" s="1">
        <f>Q10</f>
        <v>2.3333333333333335</v>
      </c>
    </row>
    <row r="16" spans="1:18" x14ac:dyDescent="0.45">
      <c r="A16" t="s">
        <v>9</v>
      </c>
      <c r="B16">
        <v>9</v>
      </c>
      <c r="H16" t="s">
        <v>9</v>
      </c>
      <c r="I16">
        <v>9</v>
      </c>
      <c r="O16" t="s">
        <v>9</v>
      </c>
      <c r="P16">
        <v>9</v>
      </c>
    </row>
    <row r="17" spans="1:17" x14ac:dyDescent="0.45">
      <c r="A17" t="s">
        <v>10</v>
      </c>
      <c r="B17">
        <v>3</v>
      </c>
      <c r="H17" t="s">
        <v>10</v>
      </c>
      <c r="I17">
        <v>3</v>
      </c>
      <c r="O17" t="s">
        <v>10</v>
      </c>
      <c r="P17">
        <v>3</v>
      </c>
    </row>
    <row r="18" spans="1:17" x14ac:dyDescent="0.45">
      <c r="A18" t="s">
        <v>11</v>
      </c>
      <c r="B18">
        <v>3</v>
      </c>
      <c r="H18" t="s">
        <v>11</v>
      </c>
      <c r="I18">
        <v>3</v>
      </c>
      <c r="O18" t="s">
        <v>11</v>
      </c>
      <c r="P18">
        <v>3</v>
      </c>
    </row>
    <row r="20" spans="1:17" x14ac:dyDescent="0.45">
      <c r="A20" t="s">
        <v>12</v>
      </c>
      <c r="B20" s="1">
        <f>2*B12</f>
        <v>12.666666666666666</v>
      </c>
      <c r="C20" s="1">
        <f>2*C12</f>
        <v>19.333333333333332</v>
      </c>
      <c r="H20" t="s">
        <v>26</v>
      </c>
      <c r="I20" s="1">
        <f>2*I12</f>
        <v>12.666666666666668</v>
      </c>
      <c r="J20" s="1">
        <f>2*J12</f>
        <v>-20.333333333333336</v>
      </c>
      <c r="O20" t="s">
        <v>27</v>
      </c>
      <c r="P20" s="1">
        <f>2*P12</f>
        <v>18.666666666666664</v>
      </c>
      <c r="Q20" s="1">
        <f>2*Q12</f>
        <v>-9.3333333333333321</v>
      </c>
    </row>
    <row r="21" spans="1:17" x14ac:dyDescent="0.45">
      <c r="B21" s="1">
        <f>2*B13</f>
        <v>19.333333333333332</v>
      </c>
      <c r="C21" s="1">
        <f>2*C13</f>
        <v>34.666666666666664</v>
      </c>
      <c r="I21" s="1">
        <f>2*I13</f>
        <v>-20.333333333333336</v>
      </c>
      <c r="J21" s="1">
        <f>2*J13</f>
        <v>32.666666666666671</v>
      </c>
      <c r="P21" s="1">
        <f>2*P13</f>
        <v>-9.3333333333333321</v>
      </c>
      <c r="Q21" s="1">
        <f>2*Q13</f>
        <v>4.666666666666667</v>
      </c>
    </row>
    <row r="26" spans="1:17" x14ac:dyDescent="0.45">
      <c r="E26" t="s">
        <v>13</v>
      </c>
      <c r="F26" s="1">
        <f>(1/6)*(B20+I20+P20)</f>
        <v>7.333333333333333</v>
      </c>
      <c r="G26" s="1">
        <f>(1/6)*(C20+J20+Q20)</f>
        <v>-1.7222222222222225</v>
      </c>
    </row>
    <row r="27" spans="1:17" x14ac:dyDescent="0.45">
      <c r="F27" s="1">
        <f>(1/6)*(B21+I21+P21)</f>
        <v>-1.7222222222222225</v>
      </c>
      <c r="G27" s="1">
        <f>(1/6)*(C21+J21+Q21)</f>
        <v>12.000000000000002</v>
      </c>
    </row>
    <row r="31" spans="1:17" x14ac:dyDescent="0.45">
      <c r="E31" t="s">
        <v>14</v>
      </c>
      <c r="F31" s="1" cm="1">
        <f t="array" ref="F31:G32">MINVERSE(F26:G27)</f>
        <v>0.14112010453341078</v>
      </c>
      <c r="G31" s="1">
        <v>2.0253348335813586E-2</v>
      </c>
    </row>
    <row r="32" spans="1:17" x14ac:dyDescent="0.45">
      <c r="F32" s="1">
        <v>2.0253348335813583E-2</v>
      </c>
      <c r="G32" s="1">
        <v>8.62400638815288E-2</v>
      </c>
    </row>
    <row r="34" spans="1:17" x14ac:dyDescent="0.45">
      <c r="A34" t="s">
        <v>15</v>
      </c>
      <c r="B34" s="1">
        <f>B6</f>
        <v>62.666666666666664</v>
      </c>
      <c r="C34" s="1">
        <f>C6</f>
        <v>84.333333333333329</v>
      </c>
      <c r="H34" t="s">
        <v>15</v>
      </c>
      <c r="I34" s="1">
        <f>I6</f>
        <v>26.333333333333332</v>
      </c>
      <c r="J34" s="1">
        <f>J6</f>
        <v>55.333333333333336</v>
      </c>
      <c r="O34" t="s">
        <v>15</v>
      </c>
      <c r="P34" s="1">
        <f>P6</f>
        <v>74.666666666666671</v>
      </c>
      <c r="Q34" s="1">
        <f>Q6</f>
        <v>92.666666666666671</v>
      </c>
    </row>
    <row r="35" spans="1:17" x14ac:dyDescent="0.45">
      <c r="A35" t="s">
        <v>16</v>
      </c>
      <c r="B35" s="1" cm="1">
        <f t="array" ref="B35:C35">MMULT(B34:C34,_xlfn.ANCHORARRAY($F$31))</f>
        <v>10.551558927080688</v>
      </c>
      <c r="C35" s="1">
        <v>8.5421218830532464</v>
      </c>
      <c r="H35" t="s">
        <v>17</v>
      </c>
      <c r="I35" s="1" cm="1">
        <f t="array" ref="I35:J35">MMULT(I34:J34,_xlfn.ANCHORARRAY($F$31))</f>
        <v>4.8368480272948355</v>
      </c>
      <c r="J35" s="1">
        <v>5.3052883742876844</v>
      </c>
      <c r="O35" t="s">
        <v>18</v>
      </c>
      <c r="P35" s="1" cm="1">
        <f t="array" ref="P35:Q35">MMULT(P34:Q34,_xlfn.ANCHORARRAY($F$31))</f>
        <v>12.413778084280064</v>
      </c>
      <c r="Q35" s="1">
        <v>9.503829262095751</v>
      </c>
    </row>
    <row r="36" spans="1:17" x14ac:dyDescent="0.45">
      <c r="A36" t="s">
        <v>4</v>
      </c>
      <c r="B36" s="1">
        <f>B34</f>
        <v>62.666666666666664</v>
      </c>
      <c r="H36" t="s">
        <v>4</v>
      </c>
      <c r="I36" s="1">
        <f>I34</f>
        <v>26.333333333333332</v>
      </c>
      <c r="O36" t="s">
        <v>4</v>
      </c>
      <c r="P36" s="1">
        <f>P34</f>
        <v>74.666666666666671</v>
      </c>
    </row>
    <row r="37" spans="1:17" x14ac:dyDescent="0.45">
      <c r="B37" s="1">
        <f>C34</f>
        <v>84.333333333333329</v>
      </c>
      <c r="I37" s="1">
        <f>J34</f>
        <v>55.333333333333336</v>
      </c>
      <c r="P37" s="1">
        <f>Q34</f>
        <v>92.666666666666671</v>
      </c>
    </row>
    <row r="38" spans="1:17" x14ac:dyDescent="0.45">
      <c r="A38" t="s">
        <v>19</v>
      </c>
      <c r="B38" s="1" cm="1">
        <f t="array" ref="B38">MMULT(_xlfn.ANCHORARRAY(B35),B36:B37)</f>
        <v>1381.6166382345468</v>
      </c>
      <c r="H38" t="s">
        <v>19</v>
      </c>
      <c r="I38" s="1" cm="1">
        <f t="array" ref="I38">MMULT(_xlfn.ANCHORARRAY(I35),I36:I37)</f>
        <v>420.92962142934925</v>
      </c>
      <c r="O38" t="s">
        <v>19</v>
      </c>
      <c r="P38" s="1" cm="1">
        <f t="array" ref="P38">MMULT(_xlfn.ANCHORARRAY(P35),P36:P37)</f>
        <v>1807.5836085804513</v>
      </c>
    </row>
    <row r="39" spans="1:17" x14ac:dyDescent="0.45">
      <c r="B39" s="1"/>
      <c r="I39" s="1"/>
      <c r="P39" s="1"/>
    </row>
    <row r="40" spans="1:17" x14ac:dyDescent="0.45">
      <c r="A40" t="s">
        <v>20</v>
      </c>
      <c r="B40" s="1">
        <f>(-1/2)*B38</f>
        <v>-690.80831911727341</v>
      </c>
      <c r="H40" t="s">
        <v>21</v>
      </c>
      <c r="I40" s="1">
        <f>(-1/2)*I38</f>
        <v>-210.46481071467463</v>
      </c>
      <c r="O40" t="s">
        <v>22</v>
      </c>
      <c r="P40" s="1">
        <f>(-1/2)*P38</f>
        <v>-903.79180429022563</v>
      </c>
    </row>
    <row r="41" spans="1:17" x14ac:dyDescent="0.45">
      <c r="B41" s="1"/>
      <c r="I41" s="1"/>
      <c r="P41" s="1"/>
    </row>
    <row r="42" spans="1:17" x14ac:dyDescent="0.45">
      <c r="B42" s="1"/>
      <c r="E42" t="s">
        <v>1</v>
      </c>
      <c r="F42">
        <v>56</v>
      </c>
      <c r="I42" s="1"/>
      <c r="P42" s="1"/>
    </row>
    <row r="43" spans="1:17" x14ac:dyDescent="0.45">
      <c r="B43" s="1"/>
      <c r="E43" t="s">
        <v>2</v>
      </c>
      <c r="F43">
        <v>32</v>
      </c>
      <c r="I43" s="1"/>
      <c r="P43" s="1"/>
    </row>
    <row r="44" spans="1:17" x14ac:dyDescent="0.45">
      <c r="B44" s="1"/>
      <c r="I44" s="1"/>
      <c r="P44" s="1"/>
    </row>
    <row r="45" spans="1:17" x14ac:dyDescent="0.45">
      <c r="A45" t="s">
        <v>23</v>
      </c>
      <c r="B45" s="1">
        <f>B40+(B35*$F$42)+(C35*$F$43)</f>
        <v>173.42688105694896</v>
      </c>
      <c r="H45" t="s">
        <v>24</v>
      </c>
      <c r="I45" s="1">
        <f>I40+(I35*$F$42)+(J35*$F$43)</f>
        <v>230.16790679104207</v>
      </c>
      <c r="O45" t="s">
        <v>25</v>
      </c>
      <c r="P45" s="1">
        <f>P40+(P35*$F$42)+(Q35*$F$43)</f>
        <v>95.502304816521985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discriminant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2025-05-06T03:02:47Z</dcterms:created>
  <dcterms:modified xsi:type="dcterms:W3CDTF">2025-05-06T04:03:33Z</dcterms:modified>
</cp:coreProperties>
</file>