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UIUI\KMUTT\STD 334 Multivariate\"/>
    </mc:Choice>
  </mc:AlternateContent>
  <xr:revisionPtr revIDLastSave="0" documentId="13_ncr:1_{D739CE6F-73A4-4D8B-8FEB-085105F21117}" xr6:coauthVersionLast="47" xr6:coauthVersionMax="47" xr10:uidLastSave="{00000000-0000-0000-0000-000000000000}"/>
  <bookViews>
    <workbookView xWindow="-110" yWindow="-110" windowWidth="19420" windowHeight="11500" xr2:uid="{1F867C49-A85D-4F25-952F-64F9E4310D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D34" i="1"/>
  <c r="E34" i="1"/>
  <c r="F34" i="1"/>
  <c r="G34" i="1"/>
  <c r="B34" i="1"/>
  <c r="D84" i="1"/>
  <c r="C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D83" i="1"/>
  <c r="E83" i="1"/>
  <c r="F83" i="1"/>
  <c r="G83" i="1"/>
  <c r="H83" i="1"/>
  <c r="C83" i="1"/>
  <c r="C75" i="1" a="1"/>
  <c r="C75" i="1" s="1"/>
  <c r="L75" i="1"/>
  <c r="R75" i="1" s="1"/>
  <c r="M75" i="1"/>
  <c r="N75" i="1"/>
  <c r="O75" i="1"/>
  <c r="P75" i="1"/>
  <c r="Q75" i="1"/>
  <c r="P72" i="1"/>
  <c r="Q72" i="1"/>
  <c r="R72" i="1"/>
  <c r="S72" i="1"/>
  <c r="T72" i="1"/>
  <c r="O72" i="1"/>
  <c r="M45" i="1"/>
  <c r="H46" i="1"/>
  <c r="I46" i="1"/>
  <c r="I56" i="1"/>
  <c r="K56" i="1"/>
  <c r="H58" i="1"/>
  <c r="L59" i="1"/>
  <c r="M59" i="1"/>
  <c r="I62" i="1"/>
  <c r="M69" i="1"/>
  <c r="I70" i="1"/>
  <c r="N24" i="1"/>
  <c r="L21" i="1"/>
  <c r="M21" i="1"/>
  <c r="J15" i="1"/>
  <c r="K15" i="1"/>
  <c r="L15" i="1"/>
  <c r="M15" i="1"/>
  <c r="N15" i="1"/>
  <c r="J14" i="1"/>
  <c r="K14" i="1"/>
  <c r="L14" i="1"/>
  <c r="M14" i="1"/>
  <c r="O14" i="1"/>
  <c r="O25" i="1" s="1"/>
  <c r="J13" i="1"/>
  <c r="K13" i="1"/>
  <c r="L13" i="1"/>
  <c r="N13" i="1"/>
  <c r="O13" i="1"/>
  <c r="O24" i="1" s="1"/>
  <c r="J12" i="1"/>
  <c r="K12" i="1"/>
  <c r="M12" i="1"/>
  <c r="M23" i="1" s="1"/>
  <c r="N12" i="1"/>
  <c r="N23" i="1" s="1"/>
  <c r="O12" i="1"/>
  <c r="O23" i="1" s="1"/>
  <c r="O15" i="1"/>
  <c r="O26" i="1" s="1"/>
  <c r="N14" i="1"/>
  <c r="N25" i="1" s="1"/>
  <c r="M13" i="1"/>
  <c r="M24" i="1" s="1"/>
  <c r="L12" i="1"/>
  <c r="L23" i="1" s="1"/>
  <c r="J11" i="1"/>
  <c r="L11" i="1"/>
  <c r="L22" i="1" s="1"/>
  <c r="M11" i="1"/>
  <c r="M22" i="1" s="1"/>
  <c r="N11" i="1"/>
  <c r="N22" i="1" s="1"/>
  <c r="O11" i="1"/>
  <c r="O22" i="1" s="1"/>
  <c r="K11" i="1"/>
  <c r="K22" i="1" s="1"/>
  <c r="K10" i="1"/>
  <c r="K21" i="1" s="1"/>
  <c r="L10" i="1"/>
  <c r="M10" i="1"/>
  <c r="N10" i="1"/>
  <c r="N21" i="1" s="1"/>
  <c r="O10" i="1"/>
  <c r="O21" i="1" s="1"/>
  <c r="J10" i="1"/>
  <c r="J21" i="1" s="1"/>
  <c r="L7" i="1"/>
  <c r="M63" i="1" s="1"/>
  <c r="L6" i="1"/>
  <c r="L44" i="1" s="1"/>
  <c r="L5" i="1"/>
  <c r="L4" i="1"/>
  <c r="L3" i="1"/>
  <c r="I42" i="1" s="1"/>
  <c r="L2" i="1"/>
  <c r="H44" i="1" s="1"/>
  <c r="H70" i="1" l="1"/>
  <c r="I54" i="1"/>
  <c r="I68" i="1"/>
  <c r="I52" i="1"/>
  <c r="I66" i="1"/>
  <c r="H52" i="1"/>
  <c r="O52" i="1" s="1"/>
  <c r="I64" i="1"/>
  <c r="L49" i="1"/>
  <c r="L63" i="1"/>
  <c r="I48" i="1"/>
  <c r="I58" i="1"/>
  <c r="I44" i="1"/>
  <c r="J43" i="1"/>
  <c r="J46" i="1"/>
  <c r="J57" i="1"/>
  <c r="J67" i="1"/>
  <c r="J70" i="1"/>
  <c r="J50" i="1"/>
  <c r="J60" i="1"/>
  <c r="J47" i="1"/>
  <c r="J71" i="1"/>
  <c r="J51" i="1"/>
  <c r="J61" i="1"/>
  <c r="J64" i="1"/>
  <c r="J44" i="1"/>
  <c r="J54" i="1"/>
  <c r="J68" i="1"/>
  <c r="J65" i="1"/>
  <c r="J45" i="1"/>
  <c r="J55" i="1"/>
  <c r="J58" i="1"/>
  <c r="J69" i="1"/>
  <c r="J48" i="1"/>
  <c r="J62" i="1"/>
  <c r="J59" i="1"/>
  <c r="J49" i="1"/>
  <c r="J52" i="1"/>
  <c r="J63" i="1"/>
  <c r="J42" i="1"/>
  <c r="J56" i="1"/>
  <c r="J66" i="1"/>
  <c r="K53" i="1"/>
  <c r="K43" i="1"/>
  <c r="K46" i="1"/>
  <c r="K57" i="1"/>
  <c r="K67" i="1"/>
  <c r="K70" i="1"/>
  <c r="K50" i="1"/>
  <c r="K60" i="1"/>
  <c r="K47" i="1"/>
  <c r="K71" i="1"/>
  <c r="K51" i="1"/>
  <c r="K61" i="1"/>
  <c r="K64" i="1"/>
  <c r="K44" i="1"/>
  <c r="K54" i="1"/>
  <c r="K68" i="1"/>
  <c r="K65" i="1"/>
  <c r="K45" i="1"/>
  <c r="K55" i="1"/>
  <c r="K58" i="1"/>
  <c r="K69" i="1"/>
  <c r="K48" i="1"/>
  <c r="K62" i="1"/>
  <c r="K42" i="1"/>
  <c r="K59" i="1"/>
  <c r="K49" i="1"/>
  <c r="K52" i="1"/>
  <c r="K63" i="1"/>
  <c r="K66" i="1"/>
  <c r="J53" i="1"/>
  <c r="L69" i="1"/>
  <c r="M65" i="1"/>
  <c r="L55" i="1"/>
  <c r="L45" i="1"/>
  <c r="L42" i="1"/>
  <c r="L65" i="1"/>
  <c r="M42" i="1"/>
  <c r="M51" i="1"/>
  <c r="M71" i="1"/>
  <c r="L61" i="1"/>
  <c r="L51" i="1"/>
  <c r="M47" i="1"/>
  <c r="L71" i="1"/>
  <c r="L47" i="1"/>
  <c r="M57" i="1"/>
  <c r="L67" i="1"/>
  <c r="L57" i="1"/>
  <c r="M53" i="1"/>
  <c r="L43" i="1"/>
  <c r="H64" i="1"/>
  <c r="L53" i="1"/>
  <c r="I60" i="1"/>
  <c r="I50" i="1"/>
  <c r="M44" i="1"/>
  <c r="M46" i="1"/>
  <c r="M48" i="1"/>
  <c r="M50" i="1"/>
  <c r="M52" i="1"/>
  <c r="M54" i="1"/>
  <c r="M56" i="1"/>
  <c r="M58" i="1"/>
  <c r="M60" i="1"/>
  <c r="M62" i="1"/>
  <c r="M64" i="1"/>
  <c r="M66" i="1"/>
  <c r="M68" i="1"/>
  <c r="M70" i="1"/>
  <c r="H68" i="1"/>
  <c r="H62" i="1"/>
  <c r="H56" i="1"/>
  <c r="H50" i="1"/>
  <c r="H42" i="1"/>
  <c r="H43" i="1"/>
  <c r="H45" i="1"/>
  <c r="H47" i="1"/>
  <c r="H49" i="1"/>
  <c r="H51" i="1"/>
  <c r="H53" i="1"/>
  <c r="H55" i="1"/>
  <c r="H57" i="1"/>
  <c r="H59" i="1"/>
  <c r="H61" i="1"/>
  <c r="H63" i="1"/>
  <c r="H65" i="1"/>
  <c r="H67" i="1"/>
  <c r="H69" i="1"/>
  <c r="H71" i="1"/>
  <c r="H66" i="1"/>
  <c r="H60" i="1"/>
  <c r="H54" i="1"/>
  <c r="H48" i="1"/>
  <c r="M67" i="1"/>
  <c r="M61" i="1"/>
  <c r="M55" i="1"/>
  <c r="M49" i="1"/>
  <c r="M43" i="1"/>
  <c r="I71" i="1"/>
  <c r="I67" i="1"/>
  <c r="I63" i="1"/>
  <c r="I59" i="1"/>
  <c r="I55" i="1"/>
  <c r="I51" i="1"/>
  <c r="I49" i="1"/>
  <c r="I45" i="1"/>
  <c r="I43" i="1"/>
  <c r="I69" i="1"/>
  <c r="I65" i="1"/>
  <c r="I61" i="1"/>
  <c r="I57" i="1"/>
  <c r="I53" i="1"/>
  <c r="I47" i="1"/>
  <c r="L70" i="1"/>
  <c r="L68" i="1"/>
  <c r="L66" i="1"/>
  <c r="L64" i="1"/>
  <c r="L62" i="1"/>
  <c r="L60" i="1"/>
  <c r="L58" i="1"/>
  <c r="S58" i="1" s="1"/>
  <c r="L56" i="1"/>
  <c r="L54" i="1"/>
  <c r="L52" i="1"/>
  <c r="L50" i="1"/>
  <c r="L48" i="1"/>
  <c r="L46" i="1"/>
  <c r="S64" i="1" l="1"/>
  <c r="P44" i="1"/>
  <c r="T52" i="1"/>
  <c r="P64" i="1"/>
  <c r="T58" i="1"/>
  <c r="O64" i="1"/>
  <c r="O58" i="1"/>
  <c r="T64" i="1"/>
  <c r="R64" i="1"/>
  <c r="Q64" i="1"/>
  <c r="R46" i="1"/>
  <c r="P70" i="1"/>
  <c r="S52" i="1"/>
  <c r="R60" i="1"/>
  <c r="S60" i="1"/>
  <c r="T60" i="1"/>
  <c r="O60" i="1"/>
  <c r="P60" i="1"/>
  <c r="Q60" i="1"/>
  <c r="S61" i="1"/>
  <c r="Q61" i="1"/>
  <c r="O61" i="1"/>
  <c r="R61" i="1"/>
  <c r="T61" i="1"/>
  <c r="P61" i="1"/>
  <c r="T46" i="1"/>
  <c r="S46" i="1"/>
  <c r="Q46" i="1"/>
  <c r="R57" i="1"/>
  <c r="S57" i="1"/>
  <c r="P57" i="1"/>
  <c r="T57" i="1"/>
  <c r="Q57" i="1"/>
  <c r="O57" i="1"/>
  <c r="O46" i="1"/>
  <c r="T44" i="1"/>
  <c r="P53" i="1"/>
  <c r="Q53" i="1"/>
  <c r="R53" i="1"/>
  <c r="S53" i="1"/>
  <c r="O53" i="1"/>
  <c r="T53" i="1"/>
  <c r="R70" i="1"/>
  <c r="R51" i="1"/>
  <c r="S51" i="1"/>
  <c r="T51" i="1"/>
  <c r="Q51" i="1"/>
  <c r="P51" i="1"/>
  <c r="O51" i="1"/>
  <c r="Q70" i="1"/>
  <c r="S49" i="1"/>
  <c r="Q49" i="1"/>
  <c r="O49" i="1"/>
  <c r="R49" i="1"/>
  <c r="T49" i="1"/>
  <c r="P49" i="1"/>
  <c r="S70" i="1"/>
  <c r="P52" i="1"/>
  <c r="O44" i="1"/>
  <c r="R69" i="1"/>
  <c r="S69" i="1"/>
  <c r="P69" i="1"/>
  <c r="T69" i="1"/>
  <c r="Q69" i="1"/>
  <c r="O69" i="1"/>
  <c r="R58" i="1"/>
  <c r="R48" i="1"/>
  <c r="S48" i="1"/>
  <c r="T48" i="1"/>
  <c r="O48" i="1"/>
  <c r="P48" i="1"/>
  <c r="Q48" i="1"/>
  <c r="S43" i="1"/>
  <c r="Q43" i="1"/>
  <c r="P43" i="1"/>
  <c r="R43" i="1"/>
  <c r="T43" i="1"/>
  <c r="O43" i="1"/>
  <c r="P56" i="1"/>
  <c r="O56" i="1"/>
  <c r="Q56" i="1"/>
  <c r="R56" i="1"/>
  <c r="S56" i="1"/>
  <c r="T56" i="1"/>
  <c r="P46" i="1"/>
  <c r="R63" i="1"/>
  <c r="S63" i="1"/>
  <c r="T63" i="1"/>
  <c r="P63" i="1"/>
  <c r="Q63" i="1"/>
  <c r="O63" i="1"/>
  <c r="P68" i="1"/>
  <c r="O68" i="1"/>
  <c r="Q68" i="1"/>
  <c r="R68" i="1"/>
  <c r="S68" i="1"/>
  <c r="T68" i="1"/>
  <c r="R66" i="1"/>
  <c r="S66" i="1"/>
  <c r="T66" i="1"/>
  <c r="P66" i="1"/>
  <c r="O66" i="1"/>
  <c r="Q66" i="1"/>
  <c r="O59" i="1"/>
  <c r="Q59" i="1"/>
  <c r="R59" i="1"/>
  <c r="P59" i="1"/>
  <c r="S59" i="1"/>
  <c r="T59" i="1"/>
  <c r="S55" i="1"/>
  <c r="Q55" i="1"/>
  <c r="P55" i="1"/>
  <c r="R55" i="1"/>
  <c r="T55" i="1"/>
  <c r="O55" i="1"/>
  <c r="R52" i="1"/>
  <c r="S44" i="1"/>
  <c r="T70" i="1"/>
  <c r="Q52" i="1"/>
  <c r="R44" i="1"/>
  <c r="P58" i="1"/>
  <c r="Q44" i="1"/>
  <c r="O71" i="1"/>
  <c r="Q71" i="1"/>
  <c r="R71" i="1"/>
  <c r="S71" i="1"/>
  <c r="T71" i="1"/>
  <c r="P71" i="1"/>
  <c r="O47" i="1"/>
  <c r="R47" i="1"/>
  <c r="P47" i="1"/>
  <c r="Q47" i="1"/>
  <c r="S47" i="1"/>
  <c r="T47" i="1"/>
  <c r="O70" i="1"/>
  <c r="R45" i="1"/>
  <c r="S45" i="1"/>
  <c r="T45" i="1"/>
  <c r="P45" i="1"/>
  <c r="Q45" i="1"/>
  <c r="O45" i="1"/>
  <c r="O50" i="1"/>
  <c r="P50" i="1"/>
  <c r="Q50" i="1"/>
  <c r="R50" i="1"/>
  <c r="S50" i="1"/>
  <c r="T50" i="1"/>
  <c r="S67" i="1"/>
  <c r="Q67" i="1"/>
  <c r="P67" i="1"/>
  <c r="R67" i="1"/>
  <c r="T67" i="1"/>
  <c r="O67" i="1"/>
  <c r="Q58" i="1"/>
  <c r="R54" i="1"/>
  <c r="S54" i="1"/>
  <c r="T54" i="1"/>
  <c r="P54" i="1"/>
  <c r="O54" i="1"/>
  <c r="Q54" i="1"/>
  <c r="P65" i="1"/>
  <c r="Q65" i="1"/>
  <c r="R65" i="1"/>
  <c r="S65" i="1"/>
  <c r="O65" i="1"/>
  <c r="T65" i="1"/>
  <c r="S42" i="1"/>
  <c r="R42" i="1"/>
  <c r="Q42" i="1"/>
  <c r="O42" i="1"/>
  <c r="P42" i="1"/>
  <c r="T42" i="1"/>
  <c r="O62" i="1"/>
  <c r="Q62" i="1"/>
  <c r="R62" i="1"/>
  <c r="S62" i="1"/>
  <c r="T62" i="1"/>
  <c r="P6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<sst xmlns="http://schemas.openxmlformats.org/spreadsheetml/2006/main" count="121" uniqueCount="41">
  <si>
    <t>group</t>
  </si>
  <si>
    <t>WDIM</t>
  </si>
  <si>
    <t>CIRCUM</t>
  </si>
  <si>
    <t>FBEYE</t>
  </si>
  <si>
    <t>EYEHD</t>
  </si>
  <si>
    <t>EARHD</t>
  </si>
  <si>
    <t>JAW</t>
  </si>
  <si>
    <t>xbar</t>
  </si>
  <si>
    <t>x1</t>
  </si>
  <si>
    <t>x2</t>
  </si>
  <si>
    <t>x3</t>
  </si>
  <si>
    <t>x4</t>
  </si>
  <si>
    <t>x5</t>
  </si>
  <si>
    <t>x6</t>
  </si>
  <si>
    <t>var</t>
  </si>
  <si>
    <t>cov</t>
  </si>
  <si>
    <t>cor</t>
  </si>
  <si>
    <t>eigen value</t>
  </si>
  <si>
    <t>eigenvectors</t>
  </si>
  <si>
    <t>pc1</t>
  </si>
  <si>
    <t>pc2</t>
  </si>
  <si>
    <t>pc3</t>
  </si>
  <si>
    <t>pc4</t>
  </si>
  <si>
    <t>pc5</t>
  </si>
  <si>
    <t>pc6</t>
  </si>
  <si>
    <t>e11*(x1-xbar1)/S(x1)</t>
  </si>
  <si>
    <t>e21*(x2-xbar2)/S(x2)</t>
  </si>
  <si>
    <t>e31*(x3-xbar3)/S(x3)</t>
  </si>
  <si>
    <t>e41*(x4-xbar4)/S(x4)</t>
  </si>
  <si>
    <t>e51*(x5-xbar5)/S(x5)</t>
  </si>
  <si>
    <t>e61*(x6-xbar6)/S(x6)</t>
  </si>
  <si>
    <t>z1</t>
  </si>
  <si>
    <t>z2</t>
  </si>
  <si>
    <t>z3</t>
  </si>
  <si>
    <t>z4</t>
  </si>
  <si>
    <t>z5</t>
  </si>
  <si>
    <t>z6</t>
  </si>
  <si>
    <t>load</t>
  </si>
  <si>
    <t>สัดส่วน</t>
  </si>
  <si>
    <t>cov(x, pc)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</si>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</sst>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22"/>
      <scheme val="minor"/>
    </font>
    <font>
      <sz val="15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8"/>
      <name val="Aptos Narrow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BF5"/>
        <bgColor rgb="FF000000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11" fontId="0" fillId="0" borderId="0" xfId="0" applyNumberFormat="1"/>
    <xf numFmtId="11" fontId="4" fillId="0" borderId="0" xfId="0" applyNumberFormat="1" applyFont="1"/>
    <xf numFmtId="49" fontId="0" fillId="0" borderId="0" xfId="0" applyNumberFormat="1"/>
    <xf numFmtId="0" fontId="1" fillId="2" borderId="2" xfId="0" applyFont="1" applyFill="1" applyBorder="1" applyAlignment="1">
      <alignment horizontal="center" vertical="center" wrapText="1" readingOrder="1"/>
    </xf>
    <xf numFmtId="0" fontId="1" fillId="0" borderId="2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5A531-1395-4C50-88D0-17FC1ABC8DD5}">
  <dimension ref="A1:W88"/>
  <sheetViews>
    <sheetView tabSelected="1" topLeftCell="J31" zoomScale="225" zoomScaleNormal="100" workbookViewId="0">
      <selection activeCell="O35" sqref="O35"/>
    </sheetView>
  </sheetViews>
  <sheetFormatPr defaultRowHeight="16.5" x14ac:dyDescent="0.45"/>
  <cols>
    <col min="18" max="23" width="18.1640625" bestFit="1" customWidth="1"/>
    <col min="24" max="24" width="8.6640625" customWidth="1"/>
  </cols>
  <sheetData>
    <row r="1" spans="1:23" ht="39.5" thickBo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Q1" t="s">
        <v>19</v>
      </c>
      <c r="R1" s="7" t="s">
        <v>25</v>
      </c>
      <c r="S1" s="7" t="s">
        <v>26</v>
      </c>
      <c r="T1" s="7" t="s">
        <v>27</v>
      </c>
      <c r="U1" s="7" t="s">
        <v>28</v>
      </c>
      <c r="V1" s="7" t="s">
        <v>29</v>
      </c>
      <c r="W1" s="7" t="s">
        <v>30</v>
      </c>
    </row>
    <row r="2" spans="1:23" ht="20" thickBot="1" x14ac:dyDescent="0.5">
      <c r="A2" s="1">
        <v>1</v>
      </c>
      <c r="B2" s="1">
        <v>15</v>
      </c>
      <c r="C2" s="1">
        <v>57.2</v>
      </c>
      <c r="D2" s="1">
        <v>19</v>
      </c>
      <c r="E2" s="1">
        <v>14</v>
      </c>
      <c r="F2" s="1">
        <v>14.5</v>
      </c>
      <c r="G2" s="1">
        <v>11.5</v>
      </c>
      <c r="I2" t="s">
        <v>7</v>
      </c>
      <c r="J2" t="s">
        <v>1</v>
      </c>
      <c r="K2" t="s">
        <v>8</v>
      </c>
      <c r="L2">
        <f>AVERAGE(B2:B31)</f>
        <v>15.356666666666667</v>
      </c>
      <c r="Q2" t="s">
        <v>20</v>
      </c>
      <c r="R2" s="7"/>
      <c r="S2" s="7"/>
      <c r="T2" s="7"/>
      <c r="U2" s="7"/>
      <c r="V2" s="7"/>
      <c r="W2" s="7"/>
    </row>
    <row r="3" spans="1:23" ht="20" thickBot="1" x14ac:dyDescent="0.5">
      <c r="A3" s="1">
        <v>1</v>
      </c>
      <c r="B3" s="1">
        <v>15.5</v>
      </c>
      <c r="C3" s="1">
        <v>59.7</v>
      </c>
      <c r="D3" s="1">
        <v>21</v>
      </c>
      <c r="E3" s="1">
        <v>13</v>
      </c>
      <c r="F3" s="1">
        <v>16</v>
      </c>
      <c r="G3" s="1">
        <v>12.5</v>
      </c>
      <c r="J3" t="s">
        <v>2</v>
      </c>
      <c r="K3" t="s">
        <v>9</v>
      </c>
      <c r="L3">
        <f>AVERAGE(C2:C31)</f>
        <v>57.733333333333334</v>
      </c>
      <c r="Q3" t="s">
        <v>21</v>
      </c>
      <c r="R3" s="7"/>
      <c r="S3" s="7"/>
      <c r="T3" s="7"/>
      <c r="U3" s="7"/>
      <c r="V3" s="7"/>
      <c r="W3" s="7"/>
    </row>
    <row r="4" spans="1:23" ht="20" thickBot="1" x14ac:dyDescent="0.5">
      <c r="A4" s="1">
        <v>1</v>
      </c>
      <c r="B4" s="1">
        <v>16</v>
      </c>
      <c r="C4" s="1">
        <v>57.2</v>
      </c>
      <c r="D4" s="1">
        <v>19</v>
      </c>
      <c r="E4" s="1">
        <v>14</v>
      </c>
      <c r="F4" s="1">
        <v>14.5</v>
      </c>
      <c r="G4" s="1">
        <v>12</v>
      </c>
      <c r="J4" t="s">
        <v>3</v>
      </c>
      <c r="K4" t="s">
        <v>10</v>
      </c>
      <c r="L4">
        <f>AVERAGE(D2:D31)</f>
        <v>19.793333333333333</v>
      </c>
      <c r="Q4" t="s">
        <v>22</v>
      </c>
      <c r="R4" s="7"/>
      <c r="S4" s="7"/>
      <c r="T4" s="7"/>
      <c r="U4" s="7"/>
      <c r="V4" s="7"/>
      <c r="W4" s="7"/>
    </row>
    <row r="5" spans="1:23" ht="20" thickBot="1" x14ac:dyDescent="0.5">
      <c r="A5" s="1">
        <v>1</v>
      </c>
      <c r="B5" s="1">
        <v>15.5</v>
      </c>
      <c r="C5" s="1">
        <v>62.2</v>
      </c>
      <c r="D5" s="1">
        <v>21.5</v>
      </c>
      <c r="E5" s="1">
        <v>14</v>
      </c>
      <c r="F5" s="1">
        <v>16</v>
      </c>
      <c r="G5" s="1">
        <v>12</v>
      </c>
      <c r="J5" t="s">
        <v>4</v>
      </c>
      <c r="K5" t="s">
        <v>11</v>
      </c>
      <c r="L5">
        <f>AVERAGE(E2:E31)</f>
        <v>11.563333333333333</v>
      </c>
      <c r="Q5" t="s">
        <v>23</v>
      </c>
      <c r="R5" s="7"/>
      <c r="S5" s="7"/>
      <c r="T5" s="7"/>
      <c r="U5" s="7"/>
      <c r="V5" s="7"/>
      <c r="W5" s="7"/>
    </row>
    <row r="6" spans="1:23" ht="20" thickBot="1" x14ac:dyDescent="0.5">
      <c r="A6" s="1">
        <v>1</v>
      </c>
      <c r="B6" s="1">
        <v>15.5</v>
      </c>
      <c r="C6" s="1">
        <v>57.2</v>
      </c>
      <c r="D6" s="1">
        <v>19.5</v>
      </c>
      <c r="E6" s="1">
        <v>13.5</v>
      </c>
      <c r="F6" s="1">
        <v>15</v>
      </c>
      <c r="G6" s="1">
        <v>12</v>
      </c>
      <c r="J6" t="s">
        <v>5</v>
      </c>
      <c r="K6" t="s">
        <v>12</v>
      </c>
      <c r="L6">
        <f>AVERAGE(F2:F31)</f>
        <v>13.98333333333334</v>
      </c>
      <c r="Q6" t="s">
        <v>24</v>
      </c>
      <c r="R6" s="7"/>
      <c r="S6" s="7"/>
      <c r="T6" s="7"/>
      <c r="U6" s="7"/>
      <c r="V6" s="7"/>
      <c r="W6" s="7"/>
    </row>
    <row r="7" spans="1:23" ht="20" thickBot="1" x14ac:dyDescent="0.5">
      <c r="A7" s="1">
        <v>1</v>
      </c>
      <c r="B7" s="1">
        <v>14</v>
      </c>
      <c r="C7" s="1">
        <v>61</v>
      </c>
      <c r="D7" s="1">
        <v>20</v>
      </c>
      <c r="E7" s="1">
        <v>15</v>
      </c>
      <c r="F7" s="1">
        <v>15</v>
      </c>
      <c r="G7" s="1">
        <v>12</v>
      </c>
      <c r="J7" t="s">
        <v>6</v>
      </c>
      <c r="K7" t="s">
        <v>13</v>
      </c>
      <c r="L7">
        <f>AVERAGE(G2:G31)</f>
        <v>11.89666666666667</v>
      </c>
    </row>
    <row r="8" spans="1:23" ht="21.5" thickBot="1" x14ac:dyDescent="0.5">
      <c r="A8" s="2">
        <v>1</v>
      </c>
      <c r="B8" s="2">
        <v>14.5</v>
      </c>
      <c r="C8" s="2">
        <v>58.4</v>
      </c>
      <c r="D8" s="2">
        <v>20</v>
      </c>
      <c r="E8" s="2">
        <v>12</v>
      </c>
      <c r="F8" s="2">
        <v>14.5</v>
      </c>
      <c r="G8" s="2">
        <v>12</v>
      </c>
    </row>
    <row r="9" spans="1:23" ht="21.5" thickBot="1" x14ac:dyDescent="0.5">
      <c r="A9" s="2">
        <v>1</v>
      </c>
      <c r="B9" s="2">
        <v>15</v>
      </c>
      <c r="C9" s="2">
        <v>56.9</v>
      </c>
      <c r="D9" s="2">
        <v>19</v>
      </c>
      <c r="E9" s="2">
        <v>13</v>
      </c>
      <c r="F9" s="2">
        <v>14</v>
      </c>
      <c r="G9" s="2">
        <v>12.5</v>
      </c>
      <c r="I9" t="s">
        <v>15</v>
      </c>
      <c r="J9" t="s">
        <v>8</v>
      </c>
      <c r="K9" t="s">
        <v>9</v>
      </c>
      <c r="L9" t="s">
        <v>10</v>
      </c>
      <c r="M9" t="s">
        <v>11</v>
      </c>
      <c r="N9" t="s">
        <v>12</v>
      </c>
      <c r="O9" t="s">
        <v>13</v>
      </c>
    </row>
    <row r="10" spans="1:23" ht="21.5" thickBot="1" x14ac:dyDescent="0.5">
      <c r="A10" s="2">
        <v>1</v>
      </c>
      <c r="B10" s="2">
        <v>15.5</v>
      </c>
      <c r="C10" s="2">
        <v>59.7</v>
      </c>
      <c r="D10" s="2">
        <v>20</v>
      </c>
      <c r="E10" s="2">
        <v>12.5</v>
      </c>
      <c r="F10" s="2">
        <v>14</v>
      </c>
      <c r="G10" s="2">
        <v>12.5</v>
      </c>
      <c r="I10" t="s">
        <v>8</v>
      </c>
      <c r="J10">
        <f>_xlfn.COVARIANCE.S(B$2:B$31,$B2:$B31)</f>
        <v>0.32667816091954027</v>
      </c>
      <c r="K10">
        <f>_xlfn.COVARIANCE.S(C$2:C$31,$B2:$B31)</f>
        <v>0.20804597701149419</v>
      </c>
      <c r="L10">
        <f>_xlfn.COVARIANCE.S(D$2:D$31,$B2:$B31)</f>
        <v>5.866666666666652E-2</v>
      </c>
      <c r="M10">
        <f>_xlfn.COVARIANCE.S(E$2:E$31,$B2:$B31)</f>
        <v>-0.18922988505747138</v>
      </c>
      <c r="N10">
        <f>_xlfn.COVARIANCE.S(F$2:F$31,$B2:$B31)</f>
        <v>4.5459770114942573E-2</v>
      </c>
      <c r="O10">
        <f>_xlfn.COVARIANCE.S(G$2:G$31,$B2:$B31)</f>
        <v>3.6747126436781567E-2</v>
      </c>
    </row>
    <row r="11" spans="1:23" ht="21.5" thickBot="1" x14ac:dyDescent="0.5">
      <c r="A11" s="2">
        <v>1</v>
      </c>
      <c r="B11" s="2">
        <v>15</v>
      </c>
      <c r="C11" s="2">
        <v>57.2</v>
      </c>
      <c r="D11" s="2">
        <v>19.5</v>
      </c>
      <c r="E11" s="2">
        <v>12</v>
      </c>
      <c r="F11" s="2">
        <v>14</v>
      </c>
      <c r="G11" s="2">
        <v>11</v>
      </c>
      <c r="I11" t="s">
        <v>9</v>
      </c>
      <c r="J11">
        <f>_xlfn.COVARIANCE.S(B$2:B$31,$C2:$C31)</f>
        <v>0.20804597701149419</v>
      </c>
      <c r="K11">
        <f>_xlfn.COVARIANCE.S(C$2:C$31,$C2:$C31)</f>
        <v>2.91264367816092</v>
      </c>
      <c r="L11">
        <f>_xlfn.COVARIANCE.S(D$2:D$31,$C2:$C31)</f>
        <v>0.8781609195402299</v>
      </c>
      <c r="M11">
        <f>_xlfn.COVARIANCE.S(E$2:E$31,$C2:$C31)</f>
        <v>1.2760919540229896</v>
      </c>
      <c r="N11">
        <f>_xlfn.COVARIANCE.S(F$2:F$31,$C2:$C31)</f>
        <v>0.86471264367816147</v>
      </c>
      <c r="O11">
        <f>_xlfn.COVARIANCE.S(G$2:G$31,$C2:$C31)</f>
        <v>0.19770114942528744</v>
      </c>
    </row>
    <row r="12" spans="1:23" ht="19" thickBot="1" x14ac:dyDescent="0.5">
      <c r="A12" s="3">
        <v>2</v>
      </c>
      <c r="B12" s="3">
        <v>15.5</v>
      </c>
      <c r="C12" s="3">
        <v>57.2</v>
      </c>
      <c r="D12" s="3">
        <v>20</v>
      </c>
      <c r="E12" s="3">
        <v>11.2</v>
      </c>
      <c r="F12" s="3">
        <v>13.4</v>
      </c>
      <c r="G12" s="3">
        <v>12.4</v>
      </c>
      <c r="I12" t="s">
        <v>10</v>
      </c>
      <c r="J12">
        <f>_xlfn.COVARIANCE.S(B$2:B$31,$D2:$D31)</f>
        <v>5.866666666666652E-2</v>
      </c>
      <c r="K12">
        <f>_xlfn.COVARIANCE.S(C$2:C$31,$D2:$D31)</f>
        <v>0.8781609195402299</v>
      </c>
      <c r="L12">
        <f>_xlfn.COVARIANCE.S(D$2:D$31,$D2:$D31)</f>
        <v>0.44822988505747136</v>
      </c>
      <c r="M12">
        <f>_xlfn.COVARIANCE.S(E$2:E$31,$D2:$D31)</f>
        <v>0.10974712643678174</v>
      </c>
      <c r="N12">
        <f>_xlfn.COVARIANCE.S(F$2:F$31,$D2:$D31)</f>
        <v>0.20229885057471253</v>
      </c>
      <c r="O12">
        <f>_xlfn.COVARIANCE.S(G$2:G$31,$D2:$D31)</f>
        <v>4.1701149425287458E-2</v>
      </c>
    </row>
    <row r="13" spans="1:23" ht="19" thickBot="1" x14ac:dyDescent="0.5">
      <c r="A13" s="3">
        <v>2</v>
      </c>
      <c r="B13" s="3">
        <v>15.5</v>
      </c>
      <c r="C13" s="3">
        <v>56.5</v>
      </c>
      <c r="D13" s="3">
        <v>19.8</v>
      </c>
      <c r="E13" s="3">
        <v>9.1999999999999993</v>
      </c>
      <c r="F13" s="3">
        <v>12.8</v>
      </c>
      <c r="G13" s="3">
        <v>12.2</v>
      </c>
      <c r="I13" t="s">
        <v>11</v>
      </c>
      <c r="J13">
        <f>_xlfn.COVARIANCE.S(B$2:B$31,$E2:$E31)</f>
        <v>-0.18922988505747138</v>
      </c>
      <c r="K13">
        <f>_xlfn.COVARIANCE.S(C$2:C$31,$E2:$E31)</f>
        <v>1.2760919540229896</v>
      </c>
      <c r="L13">
        <f>_xlfn.COVARIANCE.S(D$2:D$31,$E2:$E31)</f>
        <v>0.10974712643678174</v>
      </c>
      <c r="M13">
        <f>_xlfn.COVARIANCE.S(E$2:E$31,$E2:$E31)</f>
        <v>2.4086091954022995</v>
      </c>
      <c r="N13">
        <f>_xlfn.COVARIANCE.S(F$2:F$31,$E2:$E31)</f>
        <v>0.7866091954022989</v>
      </c>
      <c r="O13">
        <f>_xlfn.COVARIANCE.S(G$2:G$31,$E2:$E31)</f>
        <v>8.194252873563232E-2</v>
      </c>
    </row>
    <row r="14" spans="1:23" ht="19" thickBot="1" x14ac:dyDescent="0.5">
      <c r="A14" s="3">
        <v>2</v>
      </c>
      <c r="B14" s="3">
        <v>15.7</v>
      </c>
      <c r="C14" s="3">
        <v>57.5</v>
      </c>
      <c r="D14" s="3">
        <v>19.8</v>
      </c>
      <c r="E14" s="3">
        <v>11.8</v>
      </c>
      <c r="F14" s="3">
        <v>12.6</v>
      </c>
      <c r="G14" s="3">
        <v>12.5</v>
      </c>
      <c r="I14" t="s">
        <v>12</v>
      </c>
      <c r="J14">
        <f>_xlfn.COVARIANCE.S(B$2:B$31,$F2:$F31)</f>
        <v>4.5459770114942573E-2</v>
      </c>
      <c r="K14">
        <f>_xlfn.COVARIANCE.S(C$2:C$31,$F2:$F31)</f>
        <v>0.86471264367816147</v>
      </c>
      <c r="L14">
        <f>_xlfn.COVARIANCE.S(D$2:D$31,$F2:$F31)</f>
        <v>0.20229885057471253</v>
      </c>
      <c r="M14">
        <f>_xlfn.COVARIANCE.S(E$2:E$31,$F2:$F31)</f>
        <v>0.7866091954022989</v>
      </c>
      <c r="N14">
        <f>_xlfn.COVARIANCE.S(F$2:F$31,$F2:$F31)</f>
        <v>0.76281609195402322</v>
      </c>
      <c r="O14">
        <f>_xlfn.COVARIANCE.S(G$2:G$31,$F2:$F31)</f>
        <v>5.5804597701149414E-2</v>
      </c>
    </row>
    <row r="15" spans="1:23" ht="19" thickBot="1" x14ac:dyDescent="0.5">
      <c r="A15" s="3">
        <v>2</v>
      </c>
      <c r="B15" s="3">
        <v>14.4</v>
      </c>
      <c r="C15" s="3">
        <v>57</v>
      </c>
      <c r="D15" s="3">
        <v>20.399999999999999</v>
      </c>
      <c r="E15" s="3">
        <v>10.199999999999999</v>
      </c>
      <c r="F15" s="3">
        <v>12.7</v>
      </c>
      <c r="G15" s="3">
        <v>12.3</v>
      </c>
      <c r="I15" t="s">
        <v>13</v>
      </c>
      <c r="J15">
        <f>_xlfn.COVARIANCE.S(B$2:B$31,$G2:$G31)</f>
        <v>3.6747126436781567E-2</v>
      </c>
      <c r="K15">
        <f>_xlfn.COVARIANCE.S(C$2:C$31,$G2:$G31)</f>
        <v>0.19770114942528744</v>
      </c>
      <c r="L15">
        <f>_xlfn.COVARIANCE.S(D$2:D$31,$G2:$G31)</f>
        <v>4.1701149425287458E-2</v>
      </c>
      <c r="M15">
        <f>_xlfn.COVARIANCE.S(E$2:E$31,$G2:$G31)</f>
        <v>8.194252873563232E-2</v>
      </c>
      <c r="N15">
        <f>_xlfn.COVARIANCE.S(F$2:F$31,$G2:$G31)</f>
        <v>5.5804597701149414E-2</v>
      </c>
      <c r="O15">
        <f>_xlfn.COVARIANCE.S(G$2:G$31,$G2:$G31)</f>
        <v>0.21964367816091937</v>
      </c>
    </row>
    <row r="16" spans="1:23" ht="19" thickBot="1" x14ac:dyDescent="0.5">
      <c r="A16" s="3">
        <v>2</v>
      </c>
      <c r="B16" s="3">
        <v>14.9</v>
      </c>
      <c r="C16" s="3">
        <v>54.8</v>
      </c>
      <c r="D16" s="3">
        <v>18.5</v>
      </c>
      <c r="E16" s="3">
        <v>11.2</v>
      </c>
      <c r="F16" s="3">
        <v>13.8</v>
      </c>
      <c r="G16" s="3">
        <v>11.3</v>
      </c>
    </row>
    <row r="17" spans="1:16" ht="19" thickBot="1" x14ac:dyDescent="0.5">
      <c r="A17" s="3">
        <v>2</v>
      </c>
      <c r="B17" s="3">
        <v>16.5</v>
      </c>
      <c r="C17" s="3">
        <v>59.8</v>
      </c>
      <c r="D17" s="3">
        <v>20.2</v>
      </c>
      <c r="E17" s="3">
        <v>9.4</v>
      </c>
      <c r="F17" s="3">
        <v>14.3</v>
      </c>
      <c r="G17" s="3">
        <v>12.2</v>
      </c>
    </row>
    <row r="18" spans="1:16" ht="19" thickBot="1" x14ac:dyDescent="0.5">
      <c r="A18" s="3">
        <v>2</v>
      </c>
      <c r="B18" s="3">
        <v>15.5</v>
      </c>
      <c r="C18" s="3">
        <v>56.1</v>
      </c>
      <c r="D18" s="3">
        <v>18.8</v>
      </c>
      <c r="E18" s="3">
        <v>9.8000000000000007</v>
      </c>
      <c r="F18" s="3">
        <v>13.8</v>
      </c>
      <c r="G18" s="3">
        <v>12.6</v>
      </c>
    </row>
    <row r="19" spans="1:16" ht="19" thickBot="1" x14ac:dyDescent="0.5">
      <c r="A19" s="3">
        <v>2</v>
      </c>
      <c r="B19" s="3">
        <v>15.3</v>
      </c>
      <c r="C19" s="3">
        <v>55</v>
      </c>
      <c r="D19" s="3">
        <v>19</v>
      </c>
      <c r="E19" s="3">
        <v>10.1</v>
      </c>
      <c r="F19" s="3">
        <v>14.2</v>
      </c>
      <c r="G19" s="3">
        <v>11.6</v>
      </c>
    </row>
    <row r="20" spans="1:16" ht="19" thickBot="1" x14ac:dyDescent="0.5">
      <c r="A20" s="3">
        <v>2</v>
      </c>
      <c r="B20" s="3">
        <v>14.5</v>
      </c>
      <c r="C20" s="3">
        <v>55.6</v>
      </c>
      <c r="D20" s="3">
        <v>19.3</v>
      </c>
      <c r="E20" s="3">
        <v>12</v>
      </c>
      <c r="F20" s="3">
        <v>12.6</v>
      </c>
      <c r="G20" s="3">
        <v>11.6</v>
      </c>
      <c r="I20" t="s">
        <v>16</v>
      </c>
      <c r="J20" t="s">
        <v>8</v>
      </c>
      <c r="K20" t="s">
        <v>9</v>
      </c>
      <c r="L20" t="s">
        <v>10</v>
      </c>
      <c r="M20" t="s">
        <v>11</v>
      </c>
      <c r="N20" t="s">
        <v>12</v>
      </c>
      <c r="O20" t="s">
        <v>13</v>
      </c>
    </row>
    <row r="21" spans="1:16" ht="19" thickBot="1" x14ac:dyDescent="0.5">
      <c r="A21" s="3">
        <v>2</v>
      </c>
      <c r="B21" s="3">
        <v>15.5</v>
      </c>
      <c r="C21" s="3">
        <v>56.5</v>
      </c>
      <c r="D21" s="3">
        <v>20</v>
      </c>
      <c r="E21" s="3">
        <v>9.9</v>
      </c>
      <c r="F21" s="3">
        <v>13.4</v>
      </c>
      <c r="G21" s="3">
        <v>11.5</v>
      </c>
      <c r="I21" t="s">
        <v>8</v>
      </c>
      <c r="J21">
        <f>J10/(SQRT($B$33*B33))</f>
        <v>0.99999999975370335</v>
      </c>
      <c r="K21">
        <f>K10/(SQRT($B$33*C33))</f>
        <v>0.21328268148292354</v>
      </c>
      <c r="L21">
        <f>L10/(SQRT($B$33*D33))</f>
        <v>0.15331369742040668</v>
      </c>
      <c r="M21">
        <f>M10/(SQRT($B$33*E33))</f>
        <v>-0.21332733331939641</v>
      </c>
      <c r="N21">
        <f>N10/(SQRT($B$33*F33))</f>
        <v>9.1066209714559129E-2</v>
      </c>
      <c r="O21">
        <f>O10/(SQRT($B$33*G33))</f>
        <v>0.13718416331609506</v>
      </c>
    </row>
    <row r="22" spans="1:16" ht="19" thickBot="1" x14ac:dyDescent="0.5">
      <c r="A22" s="3">
        <v>3</v>
      </c>
      <c r="B22" s="3">
        <v>15.2</v>
      </c>
      <c r="C22" s="3">
        <v>57.8</v>
      </c>
      <c r="D22" s="3">
        <v>19.899999999999999</v>
      </c>
      <c r="E22" s="3">
        <v>10.4</v>
      </c>
      <c r="F22" s="3">
        <v>13.5</v>
      </c>
      <c r="G22" s="3">
        <v>11.4</v>
      </c>
      <c r="I22" t="s">
        <v>9</v>
      </c>
      <c r="K22">
        <f>K11/(SQRT($C$33*C33))</f>
        <v>1.0000000000552489</v>
      </c>
      <c r="L22">
        <f>L11/(SQRT($C$33*D33))</f>
        <v>0.76856397255689846</v>
      </c>
      <c r="M22">
        <f>M11/(SQRT($C$33*E33))</f>
        <v>0.48178704896441316</v>
      </c>
      <c r="N22">
        <f>N11/(SQRT($C$33*F33))</f>
        <v>0.58012049274085509</v>
      </c>
      <c r="O22">
        <f>O11/(SQRT($C$33*G33))</f>
        <v>0.24717592130677279</v>
      </c>
    </row>
    <row r="23" spans="1:16" ht="19" thickBot="1" x14ac:dyDescent="0.5">
      <c r="A23" s="3">
        <v>3</v>
      </c>
      <c r="B23" s="3">
        <v>15.1</v>
      </c>
      <c r="C23" s="3">
        <v>56</v>
      </c>
      <c r="D23" s="3">
        <v>19.399999999999999</v>
      </c>
      <c r="E23" s="3">
        <v>10</v>
      </c>
      <c r="F23" s="3">
        <v>13.1</v>
      </c>
      <c r="G23" s="3">
        <v>10.9</v>
      </c>
      <c r="I23" t="s">
        <v>10</v>
      </c>
      <c r="L23">
        <f>L12/(SQRT($D$33*D33))</f>
        <v>1.0000000001282185</v>
      </c>
      <c r="M23">
        <f>M12/(SQRT($D$33*E33))</f>
        <v>0.1056232637960465</v>
      </c>
      <c r="N23">
        <f>N12/(SQRT($D$33*F33))</f>
        <v>0.34596573492242577</v>
      </c>
      <c r="O23">
        <f>O12/(SQRT($D$33*G33))</f>
        <v>0.13290406592945789</v>
      </c>
    </row>
    <row r="24" spans="1:16" ht="19" thickBot="1" x14ac:dyDescent="0.5">
      <c r="A24" s="3">
        <v>3</v>
      </c>
      <c r="B24" s="3">
        <v>15.9</v>
      </c>
      <c r="C24" s="3">
        <v>59.8</v>
      </c>
      <c r="D24" s="3">
        <v>20.5</v>
      </c>
      <c r="E24" s="3">
        <v>12</v>
      </c>
      <c r="F24" s="3">
        <v>13.6</v>
      </c>
      <c r="G24" s="3">
        <v>11.5</v>
      </c>
      <c r="I24" t="s">
        <v>11</v>
      </c>
      <c r="M24">
        <f>M13/(SQRT($E$33*E33))</f>
        <v>1.0000000001670257</v>
      </c>
      <c r="N24">
        <f>N13/(SQRT($E$33*F33))</f>
        <v>0.58031784557215005</v>
      </c>
      <c r="O24">
        <f>O13/(SQRT($E$33*G33))</f>
        <v>0.11265924550237454</v>
      </c>
    </row>
    <row r="25" spans="1:16" ht="19" thickBot="1" x14ac:dyDescent="0.5">
      <c r="A25" s="3">
        <v>3</v>
      </c>
      <c r="B25" s="3">
        <v>16.100000000000001</v>
      </c>
      <c r="C25" s="3">
        <v>57.7</v>
      </c>
      <c r="D25" s="3">
        <v>19.7</v>
      </c>
      <c r="E25" s="3">
        <v>10.199999999999999</v>
      </c>
      <c r="F25" s="3">
        <v>13.6</v>
      </c>
      <c r="G25" s="3">
        <v>11.5</v>
      </c>
      <c r="I25" t="s">
        <v>12</v>
      </c>
      <c r="N25">
        <f>N14/(SQRT($F$33*F33))</f>
        <v>0.99999999993972755</v>
      </c>
      <c r="O25">
        <f>O14/(SQRT($F$33*G33))</f>
        <v>0.13633291002147399</v>
      </c>
    </row>
    <row r="26" spans="1:16" ht="19" thickBot="1" x14ac:dyDescent="0.5">
      <c r="A26" s="3">
        <v>3</v>
      </c>
      <c r="B26" s="3">
        <v>15.7</v>
      </c>
      <c r="C26" s="3">
        <v>58.7</v>
      </c>
      <c r="D26" s="3">
        <v>20.7</v>
      </c>
      <c r="E26" s="3">
        <v>11.3</v>
      </c>
      <c r="F26" s="3">
        <v>13.6</v>
      </c>
      <c r="G26" s="3">
        <v>11.3</v>
      </c>
      <c r="I26" t="s">
        <v>13</v>
      </c>
      <c r="O26">
        <f>O15/(SQRT($G$33*G33))</f>
        <v>1.0000000007326382</v>
      </c>
    </row>
    <row r="27" spans="1:16" ht="19" thickBot="1" x14ac:dyDescent="0.5">
      <c r="A27" s="3">
        <v>3</v>
      </c>
      <c r="B27" s="3">
        <v>15.3</v>
      </c>
      <c r="C27" s="3">
        <v>56.9</v>
      </c>
      <c r="D27" s="3">
        <v>19.600000000000001</v>
      </c>
      <c r="E27" s="3">
        <v>10.5</v>
      </c>
      <c r="F27" s="3">
        <v>13.5</v>
      </c>
      <c r="G27" s="3">
        <v>12.1</v>
      </c>
    </row>
    <row r="28" spans="1:16" ht="19" thickBot="1" x14ac:dyDescent="0.5">
      <c r="A28" s="3">
        <v>3</v>
      </c>
      <c r="B28" s="3">
        <v>15.3</v>
      </c>
      <c r="C28" s="3">
        <v>56.9</v>
      </c>
      <c r="D28" s="3">
        <v>19.5</v>
      </c>
      <c r="E28" s="3">
        <v>9.9</v>
      </c>
      <c r="F28" s="3">
        <v>14</v>
      </c>
      <c r="G28" s="3">
        <v>12.1</v>
      </c>
      <c r="J28" s="4" t="s">
        <v>17</v>
      </c>
      <c r="K28" s="4"/>
      <c r="L28" s="4"/>
      <c r="M28" s="4"/>
      <c r="N28" s="4"/>
      <c r="O28" s="4"/>
      <c r="P28" s="4"/>
    </row>
    <row r="29" spans="1:16" ht="19" thickBot="1" x14ac:dyDescent="0.5">
      <c r="A29" s="3">
        <v>3</v>
      </c>
      <c r="B29" s="3">
        <v>15.2</v>
      </c>
      <c r="C29" s="3">
        <v>58</v>
      </c>
      <c r="D29" s="3">
        <v>20.6</v>
      </c>
      <c r="E29" s="3">
        <v>11</v>
      </c>
      <c r="F29" s="3">
        <v>15.1</v>
      </c>
      <c r="G29" s="3">
        <v>11.7</v>
      </c>
      <c r="K29" s="4">
        <v>4.5042937409999997</v>
      </c>
      <c r="L29" s="4">
        <v>1.6005095730000001</v>
      </c>
      <c r="M29" s="4">
        <v>0.39855964700000002</v>
      </c>
      <c r="N29" s="4">
        <v>0.27415957699999999</v>
      </c>
      <c r="O29" s="4">
        <v>0.19680420300000001</v>
      </c>
      <c r="P29" s="4">
        <v>0.104293949</v>
      </c>
    </row>
    <row r="30" spans="1:16" ht="19" thickBot="1" x14ac:dyDescent="0.5">
      <c r="A30" s="3">
        <v>3</v>
      </c>
      <c r="B30" s="3">
        <v>16.600000000000001</v>
      </c>
      <c r="C30" s="3">
        <v>59.3</v>
      </c>
      <c r="D30" s="3">
        <v>19.899999999999999</v>
      </c>
      <c r="E30" s="3">
        <v>12.1</v>
      </c>
      <c r="F30" s="3">
        <v>14.6</v>
      </c>
      <c r="G30" s="3">
        <v>12.1</v>
      </c>
      <c r="J30" s="4"/>
      <c r="K30" s="4"/>
      <c r="L30" s="4"/>
      <c r="M30" s="4"/>
      <c r="N30" s="4"/>
      <c r="O30" s="4"/>
      <c r="P30" s="4"/>
    </row>
    <row r="31" spans="1:16" ht="19" thickBot="1" x14ac:dyDescent="0.5">
      <c r="A31" s="3">
        <v>3</v>
      </c>
      <c r="B31" s="3">
        <v>15.5</v>
      </c>
      <c r="C31" s="3">
        <v>58.2</v>
      </c>
      <c r="D31" s="3">
        <v>19.7</v>
      </c>
      <c r="E31" s="3">
        <v>11.7</v>
      </c>
      <c r="F31" s="3">
        <v>13.8</v>
      </c>
      <c r="G31" s="3">
        <v>12.1</v>
      </c>
      <c r="J31" s="4" t="s">
        <v>18</v>
      </c>
      <c r="K31" s="4"/>
      <c r="L31" s="4"/>
      <c r="M31" s="4"/>
      <c r="N31" s="4"/>
      <c r="O31" s="4"/>
      <c r="P31" s="4"/>
    </row>
    <row r="32" spans="1:16" x14ac:dyDescent="0.45">
      <c r="J32" s="4"/>
      <c r="K32" s="4" t="s">
        <v>19</v>
      </c>
      <c r="L32" s="4" t="s">
        <v>20</v>
      </c>
      <c r="M32" s="4" t="s">
        <v>21</v>
      </c>
      <c r="N32" s="4" t="s">
        <v>22</v>
      </c>
      <c r="O32" s="4" t="s">
        <v>23</v>
      </c>
      <c r="P32" s="4" t="s">
        <v>24</v>
      </c>
    </row>
    <row r="33" spans="1:23" x14ac:dyDescent="0.45">
      <c r="A33" s="4" t="s">
        <v>14</v>
      </c>
      <c r="B33" s="4">
        <v>0.32667816100000002</v>
      </c>
      <c r="C33" s="4">
        <v>2.9126436779999998</v>
      </c>
      <c r="D33" s="4">
        <v>0.44822988499999999</v>
      </c>
      <c r="E33" s="4">
        <v>2.4086091949999999</v>
      </c>
      <c r="F33" s="4">
        <v>0.762816092</v>
      </c>
      <c r="G33" s="4">
        <v>0.21964367800000001</v>
      </c>
      <c r="J33" s="4">
        <v>1</v>
      </c>
      <c r="K33" s="4">
        <v>-1.7169646E-2</v>
      </c>
      <c r="L33" s="4">
        <v>-0.21102188699999999</v>
      </c>
      <c r="M33" s="4">
        <v>-0.35969401499999998</v>
      </c>
      <c r="N33" s="4">
        <v>0.78216165299999996</v>
      </c>
      <c r="O33" s="4">
        <v>-0.3671217</v>
      </c>
      <c r="P33" s="4">
        <v>0.28149598300000001</v>
      </c>
      <c r="R33" s="4"/>
      <c r="S33" s="4"/>
      <c r="T33" s="4"/>
      <c r="U33" s="4"/>
      <c r="V33" s="4"/>
      <c r="W33" s="4"/>
    </row>
    <row r="34" spans="1:23" x14ac:dyDescent="0.45">
      <c r="A34" t="s">
        <v>40</v>
      </c>
      <c r="B34">
        <f>SQRT(B33)</f>
        <v>0.57155766200795521</v>
      </c>
      <c r="C34">
        <f t="shared" ref="C34:G34" si="0">SQRT(C33)</f>
        <v>1.7066469107580513</v>
      </c>
      <c r="D34">
        <f t="shared" si="0"/>
        <v>0.66949972740845831</v>
      </c>
      <c r="E34">
        <f t="shared" si="0"/>
        <v>1.5519694568515194</v>
      </c>
      <c r="F34">
        <f t="shared" si="0"/>
        <v>0.87339343482762677</v>
      </c>
      <c r="G34">
        <f t="shared" si="0"/>
        <v>0.46866158152765203</v>
      </c>
      <c r="J34" s="4">
        <v>2</v>
      </c>
      <c r="K34" s="4">
        <v>-0.736441189</v>
      </c>
      <c r="L34" s="4">
        <v>-0.52335911999999996</v>
      </c>
      <c r="M34" s="4">
        <v>0.198754976</v>
      </c>
      <c r="N34" s="4">
        <v>5.3283848000000002E-2</v>
      </c>
      <c r="O34" s="4">
        <v>-3.3154039000000003E-2</v>
      </c>
      <c r="P34" s="4">
        <v>-0.37457670500000001</v>
      </c>
      <c r="R34" s="4"/>
      <c r="S34" s="4"/>
      <c r="T34" s="4"/>
      <c r="U34" s="4"/>
      <c r="V34" s="4"/>
      <c r="W34" s="4"/>
    </row>
    <row r="35" spans="1:23" x14ac:dyDescent="0.45">
      <c r="J35" s="4">
        <v>3</v>
      </c>
      <c r="K35" s="4">
        <v>-0.19074600999999999</v>
      </c>
      <c r="L35" s="4">
        <v>-0.32635724199999999</v>
      </c>
      <c r="M35" s="4">
        <v>0.12978890400000001</v>
      </c>
      <c r="N35" s="4">
        <v>-0.33906582600000001</v>
      </c>
      <c r="O35" s="6">
        <v>-2.9600000000000001E-5</v>
      </c>
      <c r="P35" s="4">
        <v>0.851643186</v>
      </c>
      <c r="R35" s="4"/>
      <c r="S35" s="4"/>
      <c r="T35" s="4"/>
      <c r="U35" s="4"/>
      <c r="V35" s="4"/>
      <c r="W35" s="4"/>
    </row>
    <row r="36" spans="1:23" x14ac:dyDescent="0.45">
      <c r="J36" s="4">
        <v>4</v>
      </c>
      <c r="K36" s="4">
        <v>-0.57212400799999996</v>
      </c>
      <c r="L36" s="4">
        <v>0.753478957</v>
      </c>
      <c r="M36" s="4">
        <v>0.17958491700000001</v>
      </c>
      <c r="N36" s="4">
        <v>0.16253179500000001</v>
      </c>
      <c r="O36" s="4">
        <v>-8.4245986999999994E-2</v>
      </c>
      <c r="P36" s="4">
        <v>0.197936525</v>
      </c>
      <c r="R36" s="4"/>
      <c r="S36" s="4"/>
      <c r="T36" s="4"/>
      <c r="U36" s="4"/>
      <c r="V36" s="4"/>
      <c r="W36" s="4"/>
    </row>
    <row r="37" spans="1:23" x14ac:dyDescent="0.45">
      <c r="J37" s="4">
        <v>5</v>
      </c>
      <c r="K37" s="4">
        <v>-0.30176693999999998</v>
      </c>
      <c r="L37" s="4">
        <v>7.4181256000000001E-2</v>
      </c>
      <c r="M37" s="4">
        <v>-0.88414576700000003</v>
      </c>
      <c r="N37" s="4">
        <v>-0.33026629600000001</v>
      </c>
      <c r="O37" s="4">
        <v>0.10656059800000001</v>
      </c>
      <c r="P37" s="4">
        <v>-3.5904468000000002E-2</v>
      </c>
      <c r="R37" s="4"/>
      <c r="S37" s="4"/>
      <c r="T37" s="6"/>
      <c r="U37" s="4"/>
      <c r="V37" s="4"/>
      <c r="W37" s="4"/>
    </row>
    <row r="38" spans="1:23" x14ac:dyDescent="0.45">
      <c r="J38" s="4">
        <v>6</v>
      </c>
      <c r="K38" s="4">
        <v>-5.0856382999999998E-2</v>
      </c>
      <c r="L38" s="4">
        <v>-4.2691324000000003E-2</v>
      </c>
      <c r="M38" s="4">
        <v>-1.752244E-2</v>
      </c>
      <c r="N38" s="4">
        <v>0.36732265800000002</v>
      </c>
      <c r="O38" s="4">
        <v>0.91960313100000002</v>
      </c>
      <c r="P38" s="4">
        <v>0.121194839</v>
      </c>
      <c r="R38" s="4"/>
      <c r="S38" s="4"/>
      <c r="T38" s="4"/>
      <c r="U38" s="4"/>
      <c r="V38" s="4"/>
      <c r="W38" s="4"/>
    </row>
    <row r="40" spans="1:23" ht="17" thickBot="1" x14ac:dyDescent="0.5"/>
    <row r="41" spans="1:23" ht="39.5" thickBot="1" x14ac:dyDescent="0.5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 s="8" t="s">
        <v>31</v>
      </c>
      <c r="I41" s="8" t="s">
        <v>32</v>
      </c>
      <c r="J41" s="8" t="s">
        <v>33</v>
      </c>
      <c r="K41" s="8" t="s">
        <v>34</v>
      </c>
      <c r="L41" s="8" t="s">
        <v>35</v>
      </c>
      <c r="M41" s="8" t="s">
        <v>36</v>
      </c>
      <c r="N41" s="9"/>
      <c r="O41" s="8" t="s">
        <v>19</v>
      </c>
      <c r="P41" s="8" t="s">
        <v>20</v>
      </c>
      <c r="Q41" s="8" t="s">
        <v>21</v>
      </c>
      <c r="R41" s="8" t="s">
        <v>22</v>
      </c>
      <c r="S41" s="8" t="s">
        <v>23</v>
      </c>
      <c r="T41" s="8" t="s">
        <v>24</v>
      </c>
    </row>
    <row r="42" spans="1:23" ht="20" thickBot="1" x14ac:dyDescent="0.5">
      <c r="A42" s="1">
        <v>1</v>
      </c>
      <c r="B42" s="1">
        <v>15</v>
      </c>
      <c r="C42" s="1">
        <v>57.2</v>
      </c>
      <c r="D42" s="1">
        <v>19</v>
      </c>
      <c r="E42" s="1">
        <v>14</v>
      </c>
      <c r="F42" s="1">
        <v>14.5</v>
      </c>
      <c r="G42" s="1">
        <v>11.5</v>
      </c>
      <c r="H42">
        <f>(B42-$L$2)/SQRT($B$33)</f>
        <v>-0.62402569394949881</v>
      </c>
      <c r="I42">
        <f>(C42-$L$3)/SQRT($C$33)</f>
        <v>-0.31250361745678118</v>
      </c>
      <c r="J42">
        <f>(D42-$L$4)/SQRT($D$33)</f>
        <v>-1.1849643858769257</v>
      </c>
      <c r="K42">
        <f>(E42-$L$5)/SQRT($E$33)</f>
        <v>1.570048080462829</v>
      </c>
      <c r="L42">
        <f>(F42-$L$6)/SQRT($F$33)</f>
        <v>0.59156234299909738</v>
      </c>
      <c r="M42">
        <f>(G42-$L$7)/SQRT($G$33)</f>
        <v>-0.84638187191212277</v>
      </c>
      <c r="O42">
        <f>$K$33*$H42+$K$34*$I42+$K$35*$J42+$K$36*$K42+$K$37*$L42+$K$38*$M42</f>
        <v>-0.56685017350613409</v>
      </c>
      <c r="P42">
        <f>$L$33*$H42+$L$34*$I42+$L$35*$J42+$L$36*$K42+$L$37*$L42+$L$38*$M42</f>
        <v>1.9449705969802098</v>
      </c>
      <c r="Q42">
        <f>$M$33*$H42+$M$34*$I42+$M$35*$J42+$M$36*$K42+$M$37*$L42+$M$38*$M42</f>
        <v>-0.21768828228533824</v>
      </c>
      <c r="R42">
        <f>$N$33*$H42+$N$34*$I42+$N$35*$J42+$N$36*$K42+$N$37*$L42+$N$38*$M42</f>
        <v>-0.35404504526332869</v>
      </c>
      <c r="S42" s="5">
        <f>$O$33*$H42+$O$34*$I42+$O$35*$J42+$O$36*$K42+$O$37*$L42+$O$38*$M42</f>
        <v>-0.60807922691076577</v>
      </c>
      <c r="T42">
        <f>$P$33*$H42+$P$34*$I42+$P$35*$J42+$P$36*$K42+$P$37*$L42+$P$38*$M42</f>
        <v>-0.88081798047617976</v>
      </c>
    </row>
    <row r="43" spans="1:23" ht="20" thickBot="1" x14ac:dyDescent="0.5">
      <c r="A43" s="1">
        <v>1</v>
      </c>
      <c r="B43" s="1">
        <v>15.5</v>
      </c>
      <c r="C43" s="1">
        <v>59.7</v>
      </c>
      <c r="D43" s="1">
        <v>21</v>
      </c>
      <c r="E43" s="1">
        <v>13</v>
      </c>
      <c r="F43" s="1">
        <v>16</v>
      </c>
      <c r="G43" s="1">
        <v>12.5</v>
      </c>
      <c r="H43">
        <f t="shared" ref="H43:H71" si="1">(B43-$L$2)/SQRT($B$33)</f>
        <v>0.25077668074605858</v>
      </c>
      <c r="I43">
        <f t="shared" ref="I43:I71" si="2">(C43-$L$3)/SQRT($C$33)</f>
        <v>1.1523570893718857</v>
      </c>
      <c r="J43">
        <f t="shared" ref="J43:J71" si="3">(D43-$L$4)/SQRT($D$33)</f>
        <v>1.8023407886027203</v>
      </c>
      <c r="K43">
        <f t="shared" ref="K43:K71" si="4">(E43-$L$5)/SQRT($E$33)</f>
        <v>0.925705502981504</v>
      </c>
      <c r="L43">
        <f t="shared" ref="L43:L71" si="5">(F43-$L$6)/SQRT($F$33)</f>
        <v>2.3090014033190784</v>
      </c>
      <c r="M43">
        <f t="shared" ref="M43:M71" si="6">(G43-$L$7)/SQRT($G$33)</f>
        <v>1.2873539396310256</v>
      </c>
      <c r="O43">
        <f t="shared" ref="O43:O71" si="7">$K$33*$H43+$K$34*$I43+$K$35*$J43+$K$36*$K43+$K$37*$L43+$K$38*$M43</f>
        <v>-2.4886070815084702</v>
      </c>
      <c r="P43">
        <f t="shared" ref="P43:P71" si="8">$L$33*$H43+$L$34*$I43+$L$35*$J43+$L$36*$K43+$L$37*$L43+$L$38*$M43</f>
        <v>-0.43039753257837871</v>
      </c>
      <c r="Q43">
        <f t="shared" ref="Q43:Q71" si="9">$M$33*$H43+$M$34*$I43+$M$35*$J43+$M$36*$K43+$M$37*$L43+$M$38*$M43</f>
        <v>-1.525050982925336</v>
      </c>
      <c r="R43">
        <f t="shared" ref="R43:R71" si="10">$N$33*$H43+$N$34*$I43+$N$35*$J43+$N$36*$K43+$N$37*$L43+$N$38*$M43</f>
        <v>-0.49281673808306081</v>
      </c>
      <c r="S43" s="5">
        <f t="shared" ref="S43:S71" si="11">$O$33*$H43+$O$34*$I43+$O$35*$J43+$O$36*$K43+$O$37*$L43+$O$38*$M43</f>
        <v>1.2215921076142333</v>
      </c>
      <c r="T43">
        <f t="shared" ref="T43:T71" si="12">$P$33*$H43+$P$34*$I43+$P$35*$J43+$P$36*$K43+$P$37*$L43+$P$38*$M43</f>
        <v>1.4302458750888596</v>
      </c>
    </row>
    <row r="44" spans="1:23" ht="20" thickBot="1" x14ac:dyDescent="0.5">
      <c r="A44" s="1">
        <v>1</v>
      </c>
      <c r="B44" s="1">
        <v>16</v>
      </c>
      <c r="C44" s="1">
        <v>57.2</v>
      </c>
      <c r="D44" s="1">
        <v>19</v>
      </c>
      <c r="E44" s="1">
        <v>14</v>
      </c>
      <c r="F44" s="1">
        <v>14.5</v>
      </c>
      <c r="G44" s="1">
        <v>12</v>
      </c>
      <c r="H44">
        <f t="shared" si="1"/>
        <v>1.1255790554416161</v>
      </c>
      <c r="I44">
        <f t="shared" si="2"/>
        <v>-0.31250361745678118</v>
      </c>
      <c r="J44">
        <f t="shared" si="3"/>
        <v>-1.1849643858769257</v>
      </c>
      <c r="K44">
        <f t="shared" si="4"/>
        <v>1.570048080462829</v>
      </c>
      <c r="L44">
        <f t="shared" si="5"/>
        <v>0.59156234299909738</v>
      </c>
      <c r="M44">
        <f t="shared" si="6"/>
        <v>0.22048603385945145</v>
      </c>
      <c r="O44">
        <f t="shared" si="7"/>
        <v>-0.65114731051942532</v>
      </c>
      <c r="P44">
        <f t="shared" si="8"/>
        <v>1.5302196978290388</v>
      </c>
      <c r="Q44">
        <f t="shared" si="9"/>
        <v>-0.86570476812370512</v>
      </c>
      <c r="R44">
        <f t="shared" si="10"/>
        <v>1.4063134524999845</v>
      </c>
      <c r="S44" s="5">
        <f t="shared" si="11"/>
        <v>-0.26930203032435313</v>
      </c>
      <c r="T44">
        <f t="shared" si="12"/>
        <v>-0.25901238761060619</v>
      </c>
    </row>
    <row r="45" spans="1:23" ht="20" thickBot="1" x14ac:dyDescent="0.5">
      <c r="A45" s="1">
        <v>1</v>
      </c>
      <c r="B45" s="1">
        <v>15.5</v>
      </c>
      <c r="C45" s="1">
        <v>62.2</v>
      </c>
      <c r="D45" s="1">
        <v>21.5</v>
      </c>
      <c r="E45" s="1">
        <v>14</v>
      </c>
      <c r="F45" s="1">
        <v>16</v>
      </c>
      <c r="G45" s="1">
        <v>12</v>
      </c>
      <c r="H45">
        <f t="shared" si="1"/>
        <v>0.25077668074605858</v>
      </c>
      <c r="I45">
        <f t="shared" si="2"/>
        <v>2.6172177962005527</v>
      </c>
      <c r="J45">
        <f t="shared" si="3"/>
        <v>2.5491670822226316</v>
      </c>
      <c r="K45">
        <f t="shared" si="4"/>
        <v>1.570048080462829</v>
      </c>
      <c r="L45">
        <f t="shared" si="5"/>
        <v>2.3090014033190784</v>
      </c>
      <c r="M45">
        <f t="shared" si="6"/>
        <v>0.22048603385945145</v>
      </c>
      <c r="O45">
        <f t="shared" si="7"/>
        <v>-4.0242317929631799</v>
      </c>
      <c r="P45">
        <f t="shared" si="8"/>
        <v>-0.90973333580386817</v>
      </c>
      <c r="Q45">
        <f t="shared" si="9"/>
        <v>-1.002564525005593</v>
      </c>
      <c r="R45">
        <f t="shared" si="10"/>
        <v>-0.95514519613392512</v>
      </c>
      <c r="S45" s="5">
        <f t="shared" si="11"/>
        <v>0.13762560963518605</v>
      </c>
      <c r="T45">
        <f t="shared" si="12"/>
        <v>1.5158127489499826</v>
      </c>
    </row>
    <row r="46" spans="1:23" ht="20" thickBot="1" x14ac:dyDescent="0.5">
      <c r="A46" s="1">
        <v>1</v>
      </c>
      <c r="B46" s="1">
        <v>15.5</v>
      </c>
      <c r="C46" s="1">
        <v>57.2</v>
      </c>
      <c r="D46" s="1">
        <v>19.5</v>
      </c>
      <c r="E46" s="1">
        <v>13.5</v>
      </c>
      <c r="F46" s="1">
        <v>15</v>
      </c>
      <c r="G46" s="1">
        <v>12</v>
      </c>
      <c r="H46">
        <f t="shared" si="1"/>
        <v>0.25077668074605858</v>
      </c>
      <c r="I46">
        <f t="shared" si="2"/>
        <v>-0.31250361745678118</v>
      </c>
      <c r="J46">
        <f t="shared" si="3"/>
        <v>-0.43813809225701428</v>
      </c>
      <c r="K46">
        <f t="shared" si="4"/>
        <v>1.2478767917221665</v>
      </c>
      <c r="L46">
        <f t="shared" si="5"/>
        <v>1.1640420297724245</v>
      </c>
      <c r="M46">
        <f t="shared" si="6"/>
        <v>0.22048603385945145</v>
      </c>
      <c r="O46">
        <f t="shared" si="7"/>
        <v>-0.7670149134099421</v>
      </c>
      <c r="P46">
        <f t="shared" si="8"/>
        <v>1.2708079518341719</v>
      </c>
      <c r="Q46">
        <f t="shared" si="9"/>
        <v>-1.0181264194130133</v>
      </c>
      <c r="R46">
        <f t="shared" si="10"/>
        <v>0.22741948339267817</v>
      </c>
      <c r="S46" s="5">
        <f t="shared" si="11"/>
        <v>0.13998021454806331</v>
      </c>
      <c r="T46">
        <f t="shared" si="12"/>
        <v>4.6439738138265074E-2</v>
      </c>
    </row>
    <row r="47" spans="1:23" ht="20" thickBot="1" x14ac:dyDescent="0.5">
      <c r="A47" s="1">
        <v>1</v>
      </c>
      <c r="B47" s="1">
        <v>14</v>
      </c>
      <c r="C47" s="1">
        <v>61</v>
      </c>
      <c r="D47" s="1">
        <v>20</v>
      </c>
      <c r="E47" s="1">
        <v>15</v>
      </c>
      <c r="F47" s="1">
        <v>15</v>
      </c>
      <c r="G47" s="1">
        <v>12</v>
      </c>
      <c r="H47">
        <f t="shared" si="1"/>
        <v>-2.3736304433406135</v>
      </c>
      <c r="I47">
        <f t="shared" si="2"/>
        <v>1.914084656922791</v>
      </c>
      <c r="J47">
        <f t="shared" si="3"/>
        <v>0.30868820136289726</v>
      </c>
      <c r="K47">
        <f t="shared" si="4"/>
        <v>2.2143906579441541</v>
      </c>
      <c r="L47">
        <f t="shared" si="5"/>
        <v>1.1640420297724245</v>
      </c>
      <c r="M47">
        <f t="shared" si="6"/>
        <v>0.22048603385945145</v>
      </c>
      <c r="O47">
        <f t="shared" si="7"/>
        <v>-3.057126010928632</v>
      </c>
      <c r="P47">
        <f t="shared" si="8"/>
        <v>1.1438257059416772</v>
      </c>
      <c r="Q47">
        <f t="shared" si="9"/>
        <v>0.63890369365265332</v>
      </c>
      <c r="R47">
        <f t="shared" si="10"/>
        <v>-1.80278398031261</v>
      </c>
      <c r="S47" s="5">
        <f t="shared" si="11"/>
        <v>0.94818960428180166</v>
      </c>
      <c r="T47">
        <f t="shared" si="12"/>
        <v>-0.69901050412612376</v>
      </c>
    </row>
    <row r="48" spans="1:23" ht="21.5" thickBot="1" x14ac:dyDescent="0.5">
      <c r="A48" s="2">
        <v>1</v>
      </c>
      <c r="B48" s="2">
        <v>14.5</v>
      </c>
      <c r="C48" s="2">
        <v>58.4</v>
      </c>
      <c r="D48" s="2">
        <v>20</v>
      </c>
      <c r="E48" s="2">
        <v>12</v>
      </c>
      <c r="F48" s="2">
        <v>14.5</v>
      </c>
      <c r="G48" s="2">
        <v>12</v>
      </c>
      <c r="H48">
        <f t="shared" si="1"/>
        <v>-1.4988280686450564</v>
      </c>
      <c r="I48">
        <f t="shared" si="2"/>
        <v>0.39062952182097649</v>
      </c>
      <c r="J48">
        <f t="shared" si="3"/>
        <v>0.30868820136289726</v>
      </c>
      <c r="K48">
        <f t="shared" si="4"/>
        <v>0.28136292550017905</v>
      </c>
      <c r="L48">
        <f t="shared" si="5"/>
        <v>0.59156234299909738</v>
      </c>
      <c r="M48">
        <f t="shared" si="6"/>
        <v>0.22048603385945145</v>
      </c>
      <c r="O48">
        <f t="shared" si="7"/>
        <v>-0.67152392978883435</v>
      </c>
      <c r="P48">
        <f t="shared" si="8"/>
        <v>0.25757441505441314</v>
      </c>
      <c r="Q48">
        <f t="shared" si="9"/>
        <v>0.18046109321710987</v>
      </c>
      <c r="R48">
        <f t="shared" si="10"/>
        <v>-1.3248303821790246</v>
      </c>
      <c r="S48" s="5">
        <f t="shared" si="11"/>
        <v>0.77938541173614384</v>
      </c>
      <c r="T48">
        <f t="shared" si="12"/>
        <v>-0.24416855850288327</v>
      </c>
    </row>
    <row r="49" spans="1:20" ht="21.5" thickBot="1" x14ac:dyDescent="0.5">
      <c r="A49" s="2">
        <v>1</v>
      </c>
      <c r="B49" s="2">
        <v>15</v>
      </c>
      <c r="C49" s="2">
        <v>56.9</v>
      </c>
      <c r="D49" s="2">
        <v>19</v>
      </c>
      <c r="E49" s="2">
        <v>13</v>
      </c>
      <c r="F49" s="2">
        <v>14</v>
      </c>
      <c r="G49" s="2">
        <v>12.5</v>
      </c>
      <c r="H49">
        <f t="shared" si="1"/>
        <v>-0.62402569394949881</v>
      </c>
      <c r="I49">
        <f t="shared" si="2"/>
        <v>-0.48828690227622373</v>
      </c>
      <c r="J49">
        <f t="shared" si="3"/>
        <v>-1.1849643858769257</v>
      </c>
      <c r="K49">
        <f t="shared" si="4"/>
        <v>0.925705502981504</v>
      </c>
      <c r="L49">
        <f t="shared" si="5"/>
        <v>1.9082656225770381E-2</v>
      </c>
      <c r="M49">
        <f t="shared" si="6"/>
        <v>1.2873539396310256</v>
      </c>
      <c r="O49">
        <f t="shared" si="7"/>
        <v>-4.5109066366208345E-3</v>
      </c>
      <c r="P49">
        <f t="shared" si="8"/>
        <v>1.4179105399423788</v>
      </c>
      <c r="Q49">
        <f t="shared" si="9"/>
        <v>0.10042694088312928</v>
      </c>
      <c r="R49">
        <f t="shared" si="10"/>
        <v>0.50470264464612846</v>
      </c>
      <c r="S49" s="5">
        <f t="shared" si="11"/>
        <v>1.3532183306322114</v>
      </c>
      <c r="T49">
        <f t="shared" si="12"/>
        <v>-0.66336024080772416</v>
      </c>
    </row>
    <row r="50" spans="1:20" ht="21.5" thickBot="1" x14ac:dyDescent="0.5">
      <c r="A50" s="2">
        <v>1</v>
      </c>
      <c r="B50" s="2">
        <v>15.5</v>
      </c>
      <c r="C50" s="2">
        <v>59.7</v>
      </c>
      <c r="D50" s="2">
        <v>20</v>
      </c>
      <c r="E50" s="2">
        <v>12.5</v>
      </c>
      <c r="F50" s="2">
        <v>14</v>
      </c>
      <c r="G50" s="2">
        <v>12.5</v>
      </c>
      <c r="H50">
        <f t="shared" si="1"/>
        <v>0.25077668074605858</v>
      </c>
      <c r="I50">
        <f t="shared" si="2"/>
        <v>1.1523570893718857</v>
      </c>
      <c r="J50">
        <f t="shared" si="3"/>
        <v>0.30868820136289726</v>
      </c>
      <c r="K50">
        <f t="shared" si="4"/>
        <v>0.60353421424084153</v>
      </c>
      <c r="L50">
        <f t="shared" si="5"/>
        <v>1.9082656225770381E-2</v>
      </c>
      <c r="M50">
        <f t="shared" si="6"/>
        <v>1.2873539396310256</v>
      </c>
      <c r="O50">
        <f t="shared" si="7"/>
        <v>-1.3283551080304827</v>
      </c>
      <c r="P50">
        <f t="shared" si="8"/>
        <v>-0.35555152911361393</v>
      </c>
      <c r="Q50">
        <f t="shared" si="9"/>
        <v>0.24785434768826015</v>
      </c>
      <c r="R50">
        <f t="shared" si="10"/>
        <v>0.71754971505343124</v>
      </c>
      <c r="S50" s="5">
        <f t="shared" si="11"/>
        <v>1.004762846872161</v>
      </c>
      <c r="T50">
        <f t="shared" si="12"/>
        <v>0.17663567594430715</v>
      </c>
    </row>
    <row r="51" spans="1:20" ht="21.5" thickBot="1" x14ac:dyDescent="0.5">
      <c r="A51" s="2">
        <v>1</v>
      </c>
      <c r="B51" s="2">
        <v>15</v>
      </c>
      <c r="C51" s="2">
        <v>57.2</v>
      </c>
      <c r="D51" s="2">
        <v>19.5</v>
      </c>
      <c r="E51" s="2">
        <v>12</v>
      </c>
      <c r="F51" s="2">
        <v>14</v>
      </c>
      <c r="G51" s="2">
        <v>11</v>
      </c>
      <c r="H51">
        <f t="shared" si="1"/>
        <v>-0.62402569394949881</v>
      </c>
      <c r="I51">
        <f t="shared" si="2"/>
        <v>-0.31250361745678118</v>
      </c>
      <c r="J51">
        <f t="shared" si="3"/>
        <v>-0.43813809225701428</v>
      </c>
      <c r="K51">
        <f t="shared" si="4"/>
        <v>0.28136292550017905</v>
      </c>
      <c r="L51">
        <f t="shared" si="5"/>
        <v>1.9082656225770381E-2</v>
      </c>
      <c r="M51">
        <f t="shared" si="6"/>
        <v>-1.913249777683697</v>
      </c>
      <c r="O51">
        <f t="shared" si="7"/>
        <v>0.25499589284618412</v>
      </c>
      <c r="P51">
        <f t="shared" si="8"/>
        <v>0.73332002230985616</v>
      </c>
      <c r="Q51">
        <f t="shared" si="9"/>
        <v>0.17266268786980363</v>
      </c>
      <c r="R51">
        <f t="shared" si="10"/>
        <v>-1.0195346400110563</v>
      </c>
      <c r="S51" s="5">
        <f t="shared" si="11"/>
        <v>-1.5416336244333515</v>
      </c>
      <c r="T51">
        <f t="shared" si="12"/>
        <v>-0.60861062326139059</v>
      </c>
    </row>
    <row r="52" spans="1:20" ht="19" thickBot="1" x14ac:dyDescent="0.5">
      <c r="A52" s="3">
        <v>2</v>
      </c>
      <c r="B52" s="3">
        <v>15.5</v>
      </c>
      <c r="C52" s="3">
        <v>57.2</v>
      </c>
      <c r="D52" s="3">
        <v>20</v>
      </c>
      <c r="E52" s="3">
        <v>11.2</v>
      </c>
      <c r="F52" s="3">
        <v>13.4</v>
      </c>
      <c r="G52" s="3">
        <v>12.4</v>
      </c>
      <c r="H52">
        <f t="shared" si="1"/>
        <v>0.25077668074605858</v>
      </c>
      <c r="I52">
        <f t="shared" si="2"/>
        <v>-0.31250361745678118</v>
      </c>
      <c r="J52">
        <f t="shared" si="3"/>
        <v>0.30868820136289726</v>
      </c>
      <c r="K52">
        <f t="shared" si="4"/>
        <v>-0.23411113648488138</v>
      </c>
      <c r="L52">
        <f t="shared" si="5"/>
        <v>-0.66789296790222163</v>
      </c>
      <c r="M52">
        <f t="shared" si="6"/>
        <v>1.0739803584767116</v>
      </c>
      <c r="O52">
        <f t="shared" si="7"/>
        <v>0.44782360847852704</v>
      </c>
      <c r="P52">
        <f t="shared" si="8"/>
        <v>-0.26190297781900101</v>
      </c>
      <c r="Q52">
        <f t="shared" si="9"/>
        <v>0.41740293815197937</v>
      </c>
      <c r="R52">
        <f t="shared" si="10"/>
        <v>0.6518602412292025</v>
      </c>
      <c r="S52" s="5">
        <f t="shared" si="11"/>
        <v>0.85447360858308397</v>
      </c>
      <c r="T52">
        <f t="shared" si="12"/>
        <v>0.55834348038553738</v>
      </c>
    </row>
    <row r="53" spans="1:20" ht="19" thickBot="1" x14ac:dyDescent="0.5">
      <c r="A53" s="3">
        <v>2</v>
      </c>
      <c r="B53" s="3">
        <v>15.5</v>
      </c>
      <c r="C53" s="3">
        <v>56.5</v>
      </c>
      <c r="D53" s="3">
        <v>19.8</v>
      </c>
      <c r="E53" s="3">
        <v>9.1999999999999993</v>
      </c>
      <c r="F53" s="3">
        <v>12.8</v>
      </c>
      <c r="G53" s="3">
        <v>12.2</v>
      </c>
      <c r="H53">
        <f t="shared" si="1"/>
        <v>0.25077668074605858</v>
      </c>
      <c r="I53">
        <f t="shared" si="2"/>
        <v>-0.72266461536880966</v>
      </c>
      <c r="J53">
        <f t="shared" si="3"/>
        <v>9.9576839149337106E-3</v>
      </c>
      <c r="K53">
        <f t="shared" si="4"/>
        <v>-1.5227962914475313</v>
      </c>
      <c r="L53">
        <f t="shared" si="5"/>
        <v>-1.3548685920302137</v>
      </c>
      <c r="M53">
        <f t="shared" si="6"/>
        <v>0.64723319616807962</v>
      </c>
      <c r="O53">
        <f t="shared" si="7"/>
        <v>1.7731617807162796</v>
      </c>
      <c r="P53">
        <f t="shared" si="8"/>
        <v>-0.95348807084753051</v>
      </c>
      <c r="Q53">
        <f t="shared" si="9"/>
        <v>0.68054531746348501</v>
      </c>
      <c r="R53">
        <f t="shared" si="10"/>
        <v>0.59197327605477423</v>
      </c>
      <c r="S53" s="5">
        <f t="shared" si="11"/>
        <v>0.51100493761664589</v>
      </c>
      <c r="T53">
        <f t="shared" si="12"/>
        <v>0.17543650515931328</v>
      </c>
    </row>
    <row r="54" spans="1:20" ht="19" thickBot="1" x14ac:dyDescent="0.5">
      <c r="A54" s="3">
        <v>2</v>
      </c>
      <c r="B54" s="3">
        <v>15.7</v>
      </c>
      <c r="C54" s="3">
        <v>57.5</v>
      </c>
      <c r="D54" s="3">
        <v>19.8</v>
      </c>
      <c r="E54" s="3">
        <v>11.8</v>
      </c>
      <c r="F54" s="3">
        <v>12.6</v>
      </c>
      <c r="G54" s="3">
        <v>12.5</v>
      </c>
      <c r="H54">
        <f t="shared" si="1"/>
        <v>0.60069763062428028</v>
      </c>
      <c r="I54">
        <f t="shared" si="2"/>
        <v>-0.13672033263734282</v>
      </c>
      <c r="J54">
        <f t="shared" si="3"/>
        <v>9.9576839149337106E-3</v>
      </c>
      <c r="K54">
        <f t="shared" si="4"/>
        <v>0.15249441000391453</v>
      </c>
      <c r="L54">
        <f t="shared" si="5"/>
        <v>-1.5838604667395457</v>
      </c>
      <c r="M54">
        <f t="shared" si="6"/>
        <v>1.2873539396310256</v>
      </c>
      <c r="O54">
        <f t="shared" si="7"/>
        <v>0.41371417855694304</v>
      </c>
      <c r="P54">
        <f t="shared" si="8"/>
        <v>-0.11600655070763349</v>
      </c>
      <c r="Q54">
        <f t="shared" si="9"/>
        <v>1.1632428488733986</v>
      </c>
      <c r="R54">
        <f t="shared" si="10"/>
        <v>1.479936546786192</v>
      </c>
      <c r="S54" s="5">
        <f t="shared" si="11"/>
        <v>0.78623395417493847</v>
      </c>
      <c r="T54">
        <f t="shared" si="12"/>
        <v>0.47185914987086069</v>
      </c>
    </row>
    <row r="55" spans="1:20" ht="19" thickBot="1" x14ac:dyDescent="0.5">
      <c r="A55" s="3">
        <v>2</v>
      </c>
      <c r="B55" s="3">
        <v>14.4</v>
      </c>
      <c r="C55" s="3">
        <v>57</v>
      </c>
      <c r="D55" s="3">
        <v>20.399999999999999</v>
      </c>
      <c r="E55" s="3">
        <v>10.199999999999999</v>
      </c>
      <c r="F55" s="3">
        <v>12.7</v>
      </c>
      <c r="G55" s="3">
        <v>12.3</v>
      </c>
      <c r="H55">
        <f t="shared" si="1"/>
        <v>-1.6737885435841671</v>
      </c>
      <c r="I55">
        <f t="shared" si="2"/>
        <v>-0.4296924740030762</v>
      </c>
      <c r="J55">
        <f t="shared" si="3"/>
        <v>0.90614923625882438</v>
      </c>
      <c r="K55">
        <f t="shared" si="4"/>
        <v>-0.87845371396620631</v>
      </c>
      <c r="L55">
        <f t="shared" si="5"/>
        <v>-1.4693645293848807</v>
      </c>
      <c r="M55">
        <f t="shared" si="6"/>
        <v>0.86060677732239743</v>
      </c>
      <c r="O55">
        <f t="shared" si="7"/>
        <v>1.074559991524398</v>
      </c>
      <c r="P55">
        <f t="shared" si="8"/>
        <v>-0.52527501086577</v>
      </c>
      <c r="Q55">
        <f t="shared" si="9"/>
        <v>1.7605517812848008</v>
      </c>
      <c r="R55">
        <f t="shared" si="10"/>
        <v>-0.98068783118788505</v>
      </c>
      <c r="S55" s="5">
        <f t="shared" si="11"/>
        <v>1.3375498388060085</v>
      </c>
      <c r="T55">
        <f t="shared" si="12"/>
        <v>0.44468363825365537</v>
      </c>
    </row>
    <row r="56" spans="1:20" ht="19" thickBot="1" x14ac:dyDescent="0.5">
      <c r="A56" s="3">
        <v>2</v>
      </c>
      <c r="B56" s="3">
        <v>14.9</v>
      </c>
      <c r="C56" s="3">
        <v>54.8</v>
      </c>
      <c r="D56" s="3">
        <v>18.5</v>
      </c>
      <c r="E56" s="3">
        <v>11.2</v>
      </c>
      <c r="F56" s="3">
        <v>13.8</v>
      </c>
      <c r="G56" s="3">
        <v>11.3</v>
      </c>
      <c r="H56">
        <f t="shared" si="1"/>
        <v>-0.79898616888860974</v>
      </c>
      <c r="I56">
        <f t="shared" si="2"/>
        <v>-1.7187698960123048</v>
      </c>
      <c r="J56">
        <f t="shared" si="3"/>
        <v>-1.9317906794968374</v>
      </c>
      <c r="K56">
        <f t="shared" si="4"/>
        <v>-0.23411113648488138</v>
      </c>
      <c r="L56">
        <f t="shared" si="5"/>
        <v>-0.20990921848355962</v>
      </c>
      <c r="M56">
        <f t="shared" si="6"/>
        <v>-1.2731290342207509</v>
      </c>
      <c r="O56">
        <f t="shared" si="7"/>
        <v>1.9100036218201235</v>
      </c>
      <c r="P56">
        <f t="shared" si="8"/>
        <v>1.5609737672670834</v>
      </c>
      <c r="Q56">
        <f t="shared" si="9"/>
        <v>-0.13909267638725048</v>
      </c>
      <c r="R56">
        <f t="shared" si="10"/>
        <v>-0.4978885180499481</v>
      </c>
      <c r="S56" s="5">
        <f t="shared" si="11"/>
        <v>-0.82305206835546441</v>
      </c>
      <c r="T56">
        <f t="shared" si="12"/>
        <v>-1.4193957360152925</v>
      </c>
    </row>
    <row r="57" spans="1:20" ht="19" thickBot="1" x14ac:dyDescent="0.5">
      <c r="A57" s="3">
        <v>2</v>
      </c>
      <c r="B57" s="3">
        <v>16.5</v>
      </c>
      <c r="C57" s="3">
        <v>59.8</v>
      </c>
      <c r="D57" s="3">
        <v>20.2</v>
      </c>
      <c r="E57" s="3">
        <v>9.4</v>
      </c>
      <c r="F57" s="3">
        <v>14.3</v>
      </c>
      <c r="G57" s="3">
        <v>12.2</v>
      </c>
      <c r="H57">
        <f t="shared" si="1"/>
        <v>2.0003814301371734</v>
      </c>
      <c r="I57">
        <f t="shared" si="2"/>
        <v>1.2109515176450292</v>
      </c>
      <c r="J57">
        <f t="shared" si="3"/>
        <v>0.60741871881086074</v>
      </c>
      <c r="K57">
        <f t="shared" si="4"/>
        <v>-1.3939277759512656</v>
      </c>
      <c r="L57">
        <f t="shared" si="5"/>
        <v>0.36257046828976741</v>
      </c>
      <c r="M57">
        <f t="shared" si="6"/>
        <v>0.64723319616807962</v>
      </c>
      <c r="O57">
        <f t="shared" si="7"/>
        <v>-0.38683128753381646</v>
      </c>
      <c r="P57">
        <f t="shared" si="8"/>
        <v>-2.3051528386669715</v>
      </c>
      <c r="Q57">
        <f t="shared" si="9"/>
        <v>-0.98224103209890634</v>
      </c>
      <c r="R57">
        <f t="shared" si="10"/>
        <v>1.3146319018422268</v>
      </c>
      <c r="S57" s="5">
        <f t="shared" si="11"/>
        <v>-2.3283123824449414E-2</v>
      </c>
      <c r="T57">
        <f t="shared" si="12"/>
        <v>0.41632332373712344</v>
      </c>
    </row>
    <row r="58" spans="1:20" ht="19" thickBot="1" x14ac:dyDescent="0.5">
      <c r="A58" s="3">
        <v>2</v>
      </c>
      <c r="B58" s="3">
        <v>15.5</v>
      </c>
      <c r="C58" s="3">
        <v>56.1</v>
      </c>
      <c r="D58" s="3">
        <v>18.8</v>
      </c>
      <c r="E58" s="3">
        <v>9.8000000000000007</v>
      </c>
      <c r="F58" s="3">
        <v>13.8</v>
      </c>
      <c r="G58" s="3">
        <v>12.6</v>
      </c>
      <c r="H58">
        <f t="shared" si="1"/>
        <v>0.25077668074605858</v>
      </c>
      <c r="I58">
        <f t="shared" si="2"/>
        <v>-0.95704232846139548</v>
      </c>
      <c r="J58">
        <f t="shared" si="3"/>
        <v>-1.4836949033248894</v>
      </c>
      <c r="K58">
        <f t="shared" si="4"/>
        <v>-1.1361907449587354</v>
      </c>
      <c r="L58">
        <f t="shared" si="5"/>
        <v>-0.20990921848355962</v>
      </c>
      <c r="M58">
        <f t="shared" si="6"/>
        <v>1.5007275207853397</v>
      </c>
      <c r="O58">
        <f t="shared" si="7"/>
        <v>1.620572618150705</v>
      </c>
      <c r="P58">
        <f t="shared" si="8"/>
        <v>-3.5631527049689998E-3</v>
      </c>
      <c r="Q58">
        <f t="shared" si="9"/>
        <v>-0.51773571315555023</v>
      </c>
      <c r="R58">
        <f t="shared" si="10"/>
        <v>1.0841332838276418</v>
      </c>
      <c r="S58" s="5">
        <f t="shared" si="11"/>
        <v>1.3931333604698073</v>
      </c>
      <c r="T58">
        <f t="shared" si="12"/>
        <v>-0.86997680303078173</v>
      </c>
    </row>
    <row r="59" spans="1:20" ht="19" thickBot="1" x14ac:dyDescent="0.5">
      <c r="A59" s="3">
        <v>2</v>
      </c>
      <c r="B59" s="3">
        <v>15.3</v>
      </c>
      <c r="C59" s="3">
        <v>55</v>
      </c>
      <c r="D59" s="3">
        <v>19</v>
      </c>
      <c r="E59" s="3">
        <v>10.1</v>
      </c>
      <c r="F59" s="3">
        <v>14.2</v>
      </c>
      <c r="G59" s="3">
        <v>11.6</v>
      </c>
      <c r="H59">
        <f t="shared" si="1"/>
        <v>-9.9144269132163135E-2</v>
      </c>
      <c r="I59">
        <f t="shared" si="2"/>
        <v>-1.6015810394660097</v>
      </c>
      <c r="J59">
        <f t="shared" si="3"/>
        <v>-1.1849643858769257</v>
      </c>
      <c r="K59">
        <f t="shared" si="4"/>
        <v>-0.94288797171433858</v>
      </c>
      <c r="L59">
        <f t="shared" si="5"/>
        <v>0.24807453093510037</v>
      </c>
      <c r="M59">
        <f t="shared" si="6"/>
        <v>-0.63300829075780862</v>
      </c>
      <c r="O59">
        <f t="shared" si="7"/>
        <v>1.9039804110431877</v>
      </c>
      <c r="P59">
        <f t="shared" si="8"/>
        <v>0.58082555985077722</v>
      </c>
      <c r="Q59">
        <f t="shared" si="9"/>
        <v>-0.81402648452782389</v>
      </c>
      <c r="R59">
        <f t="shared" si="10"/>
        <v>-0.22880253670624473</v>
      </c>
      <c r="S59" s="5">
        <f t="shared" si="11"/>
        <v>-0.38671494013832697</v>
      </c>
      <c r="T59">
        <f t="shared" si="12"/>
        <v>-0.70941690035634675</v>
      </c>
    </row>
    <row r="60" spans="1:20" ht="19" thickBot="1" x14ac:dyDescent="0.5">
      <c r="A60" s="3">
        <v>2</v>
      </c>
      <c r="B60" s="3">
        <v>14.5</v>
      </c>
      <c r="C60" s="3">
        <v>55.6</v>
      </c>
      <c r="D60" s="3">
        <v>19.3</v>
      </c>
      <c r="E60" s="3">
        <v>12</v>
      </c>
      <c r="F60" s="3">
        <v>12.6</v>
      </c>
      <c r="G60" s="3">
        <v>11.6</v>
      </c>
      <c r="H60">
        <f t="shared" si="1"/>
        <v>-1.4988280686450564</v>
      </c>
      <c r="I60">
        <f t="shared" si="2"/>
        <v>-1.2500144698271289</v>
      </c>
      <c r="J60">
        <f t="shared" si="3"/>
        <v>-0.73686860970497781</v>
      </c>
      <c r="K60">
        <f t="shared" si="4"/>
        <v>0.28136292550017905</v>
      </c>
      <c r="L60">
        <f t="shared" si="5"/>
        <v>-1.5838604667395457</v>
      </c>
      <c r="M60">
        <f t="shared" si="6"/>
        <v>-0.63300829075780862</v>
      </c>
      <c r="O60">
        <f t="shared" si="7"/>
        <v>1.4360259908478175</v>
      </c>
      <c r="P60">
        <f t="shared" si="8"/>
        <v>1.3325066543580144</v>
      </c>
      <c r="Q60">
        <f t="shared" si="9"/>
        <v>1.657019435213426</v>
      </c>
      <c r="R60">
        <f t="shared" si="10"/>
        <v>-0.65277659377749275</v>
      </c>
      <c r="S60" s="5">
        <f t="shared" si="11"/>
        <v>-0.18288007361538439</v>
      </c>
      <c r="T60">
        <f t="shared" si="12"/>
        <v>-0.5453945803558049</v>
      </c>
    </row>
    <row r="61" spans="1:20" ht="19" thickBot="1" x14ac:dyDescent="0.5">
      <c r="A61" s="3">
        <v>2</v>
      </c>
      <c r="B61" s="3">
        <v>15.5</v>
      </c>
      <c r="C61" s="3">
        <v>56.5</v>
      </c>
      <c r="D61" s="3">
        <v>20</v>
      </c>
      <c r="E61" s="3">
        <v>9.9</v>
      </c>
      <c r="F61" s="3">
        <v>13.4</v>
      </c>
      <c r="G61" s="3">
        <v>11.5</v>
      </c>
      <c r="H61">
        <f t="shared" si="1"/>
        <v>0.25077668074605858</v>
      </c>
      <c r="I61">
        <f t="shared" si="2"/>
        <v>-0.72266461536880966</v>
      </c>
      <c r="J61">
        <f t="shared" si="3"/>
        <v>0.30868820136289726</v>
      </c>
      <c r="K61">
        <f t="shared" si="4"/>
        <v>-1.0717564872106031</v>
      </c>
      <c r="L61">
        <f t="shared" si="5"/>
        <v>-0.66789296790222163</v>
      </c>
      <c r="M61">
        <f t="shared" si="6"/>
        <v>-0.84638187191212277</v>
      </c>
      <c r="O61">
        <f t="shared" si="7"/>
        <v>1.3267827538894423</v>
      </c>
      <c r="P61">
        <f t="shared" si="8"/>
        <v>-0.59640681791926353</v>
      </c>
      <c r="Q61">
        <f t="shared" si="9"/>
        <v>0.21910236003057795</v>
      </c>
      <c r="R61">
        <f t="shared" si="10"/>
        <v>-0.21153127625516155</v>
      </c>
      <c r="S61" s="5">
        <f t="shared" si="11"/>
        <v>-0.8273307580877276</v>
      </c>
      <c r="T61">
        <f t="shared" si="12"/>
        <v>0.31344163426422567</v>
      </c>
    </row>
    <row r="62" spans="1:20" ht="19" thickBot="1" x14ac:dyDescent="0.5">
      <c r="A62" s="3">
        <v>3</v>
      </c>
      <c r="B62" s="3">
        <v>15.2</v>
      </c>
      <c r="C62" s="3">
        <v>57.8</v>
      </c>
      <c r="D62" s="3">
        <v>19.899999999999999</v>
      </c>
      <c r="E62" s="3">
        <v>10.4</v>
      </c>
      <c r="F62" s="3">
        <v>13.5</v>
      </c>
      <c r="G62" s="3">
        <v>11.4</v>
      </c>
      <c r="H62">
        <f t="shared" si="1"/>
        <v>-0.27410474407127711</v>
      </c>
      <c r="I62">
        <f t="shared" si="2"/>
        <v>3.9062952182095566E-2</v>
      </c>
      <c r="J62">
        <f t="shared" si="3"/>
        <v>0.15932294263891283</v>
      </c>
      <c r="K62">
        <f t="shared" si="4"/>
        <v>-0.74958519846994065</v>
      </c>
      <c r="L62">
        <f t="shared" si="5"/>
        <v>-0.55339703054755662</v>
      </c>
      <c r="M62">
        <f t="shared" si="6"/>
        <v>-1.0597554530664368</v>
      </c>
      <c r="O62">
        <f t="shared" si="7"/>
        <v>0.59529644466896603</v>
      </c>
      <c r="P62">
        <f t="shared" si="8"/>
        <v>-0.57520404500684141</v>
      </c>
      <c r="Q62">
        <f t="shared" si="9"/>
        <v>0.50027508987451452</v>
      </c>
      <c r="R62">
        <f t="shared" si="10"/>
        <v>-0.59466899062481171</v>
      </c>
      <c r="S62" s="5">
        <f t="shared" si="11"/>
        <v>-0.87104521733278994</v>
      </c>
      <c r="T62">
        <f t="shared" si="12"/>
        <v>-0.21304291273709497</v>
      </c>
    </row>
    <row r="63" spans="1:20" ht="19" thickBot="1" x14ac:dyDescent="0.5">
      <c r="A63" s="3">
        <v>3</v>
      </c>
      <c r="B63" s="3">
        <v>15.1</v>
      </c>
      <c r="C63" s="3">
        <v>56</v>
      </c>
      <c r="D63" s="3">
        <v>19.399999999999999</v>
      </c>
      <c r="E63" s="3">
        <v>10</v>
      </c>
      <c r="F63" s="3">
        <v>13.1</v>
      </c>
      <c r="G63" s="3">
        <v>10.9</v>
      </c>
      <c r="H63">
        <f t="shared" si="1"/>
        <v>-0.44906521901038798</v>
      </c>
      <c r="I63">
        <f t="shared" si="2"/>
        <v>-1.015636756734543</v>
      </c>
      <c r="J63">
        <f t="shared" si="3"/>
        <v>-0.58750335098099871</v>
      </c>
      <c r="K63">
        <f t="shared" si="4"/>
        <v>-1.0073222294624709</v>
      </c>
      <c r="L63">
        <f t="shared" si="5"/>
        <v>-1.0113807799662187</v>
      </c>
      <c r="M63">
        <f t="shared" si="6"/>
        <v>-2.1266233588380112</v>
      </c>
      <c r="O63">
        <f t="shared" si="7"/>
        <v>1.8573978380708622</v>
      </c>
      <c r="P63">
        <f t="shared" si="8"/>
        <v>7.480808990547233E-2</v>
      </c>
      <c r="Q63">
        <f t="shared" si="9"/>
        <v>0.63398358306291303</v>
      </c>
      <c r="R63">
        <f t="shared" si="10"/>
        <v>-0.81701017038305745</v>
      </c>
      <c r="S63" s="5">
        <f t="shared" si="11"/>
        <v>-1.7800085471602065</v>
      </c>
      <c r="T63">
        <f t="shared" si="12"/>
        <v>-0.66712795945001568</v>
      </c>
    </row>
    <row r="64" spans="1:20" ht="19" thickBot="1" x14ac:dyDescent="0.5">
      <c r="A64" s="3">
        <v>3</v>
      </c>
      <c r="B64" s="3">
        <v>15.9</v>
      </c>
      <c r="C64" s="3">
        <v>59.8</v>
      </c>
      <c r="D64" s="3">
        <v>20.5</v>
      </c>
      <c r="E64" s="3">
        <v>12</v>
      </c>
      <c r="F64" s="3">
        <v>13.6</v>
      </c>
      <c r="G64" s="3">
        <v>11.5</v>
      </c>
      <c r="H64">
        <f t="shared" si="1"/>
        <v>0.95061858050250514</v>
      </c>
      <c r="I64">
        <f t="shared" si="2"/>
        <v>1.2109515176450292</v>
      </c>
      <c r="J64">
        <f t="shared" si="3"/>
        <v>1.0555144949828088</v>
      </c>
      <c r="K64">
        <f t="shared" si="4"/>
        <v>0.28136292550017905</v>
      </c>
      <c r="L64">
        <f t="shared" si="5"/>
        <v>-0.43890109319289167</v>
      </c>
      <c r="M64">
        <f t="shared" si="6"/>
        <v>-0.84638187191212277</v>
      </c>
      <c r="O64">
        <f t="shared" si="7"/>
        <v>-1.0949362625413201</v>
      </c>
      <c r="P64">
        <f t="shared" si="8"/>
        <v>-0.96326267477283067</v>
      </c>
      <c r="Q64">
        <f t="shared" si="9"/>
        <v>0.48915665220074928</v>
      </c>
      <c r="R64">
        <f t="shared" si="10"/>
        <v>0.32996208361698703</v>
      </c>
      <c r="S64" s="5">
        <f t="shared" si="11"/>
        <v>-1.237980566147318</v>
      </c>
      <c r="T64">
        <f t="shared" si="12"/>
        <v>0.68179620505287342</v>
      </c>
    </row>
    <row r="65" spans="1:20" ht="19" thickBot="1" x14ac:dyDescent="0.5">
      <c r="A65" s="3">
        <v>3</v>
      </c>
      <c r="B65" s="3">
        <v>16.100000000000001</v>
      </c>
      <c r="C65" s="3">
        <v>57.7</v>
      </c>
      <c r="D65" s="3">
        <v>19.7</v>
      </c>
      <c r="E65" s="3">
        <v>10.199999999999999</v>
      </c>
      <c r="F65" s="3">
        <v>13.6</v>
      </c>
      <c r="G65" s="3">
        <v>11.5</v>
      </c>
      <c r="H65">
        <f t="shared" si="1"/>
        <v>1.3005395303807299</v>
      </c>
      <c r="I65">
        <f t="shared" si="2"/>
        <v>-1.9531476091047783E-2</v>
      </c>
      <c r="J65">
        <f t="shared" si="3"/>
        <v>-0.13940757480905072</v>
      </c>
      <c r="K65">
        <f t="shared" si="4"/>
        <v>-0.87845371396620631</v>
      </c>
      <c r="L65">
        <f t="shared" si="5"/>
        <v>-0.43890109319289167</v>
      </c>
      <c r="M65">
        <f t="shared" si="6"/>
        <v>-0.84638187191212277</v>
      </c>
      <c r="O65">
        <f t="shared" si="7"/>
        <v>0.69671963896290101</v>
      </c>
      <c r="P65">
        <f t="shared" si="8"/>
        <v>-0.87704511785446149</v>
      </c>
      <c r="Q65">
        <f t="shared" si="9"/>
        <v>-0.24464563781947204</v>
      </c>
      <c r="R65">
        <f t="shared" si="10"/>
        <v>0.75474212170451849</v>
      </c>
      <c r="S65" s="5">
        <f t="shared" si="11"/>
        <v>-1.2279033917449294</v>
      </c>
      <c r="T65">
        <f t="shared" si="12"/>
        <v>-6.009501629074418E-3</v>
      </c>
    </row>
    <row r="66" spans="1:20" ht="19" thickBot="1" x14ac:dyDescent="0.5">
      <c r="A66" s="3">
        <v>3</v>
      </c>
      <c r="B66" s="3">
        <v>15.7</v>
      </c>
      <c r="C66" s="3">
        <v>58.7</v>
      </c>
      <c r="D66" s="3">
        <v>20.7</v>
      </c>
      <c r="E66" s="3">
        <v>11.3</v>
      </c>
      <c r="F66" s="3">
        <v>13.6</v>
      </c>
      <c r="G66" s="3">
        <v>11.3</v>
      </c>
      <c r="H66">
        <f t="shared" si="1"/>
        <v>0.60069763062428028</v>
      </c>
      <c r="I66">
        <f t="shared" si="2"/>
        <v>0.56641280664041904</v>
      </c>
      <c r="J66">
        <f t="shared" si="3"/>
        <v>1.3542450124307723</v>
      </c>
      <c r="K66">
        <f t="shared" si="4"/>
        <v>-0.16967687873674797</v>
      </c>
      <c r="L66">
        <f t="shared" si="5"/>
        <v>-0.43890109319289167</v>
      </c>
      <c r="M66">
        <f t="shared" si="6"/>
        <v>-1.2731290342207509</v>
      </c>
      <c r="O66">
        <f t="shared" si="7"/>
        <v>-0.39149152558550249</v>
      </c>
      <c r="P66">
        <f t="shared" si="8"/>
        <v>-0.97121995069666378</v>
      </c>
      <c r="Q66">
        <f t="shared" si="9"/>
        <v>0.45216545974833194</v>
      </c>
      <c r="R66">
        <f t="shared" si="10"/>
        <v>-0.30942768826852118</v>
      </c>
      <c r="S66" s="5">
        <f t="shared" si="11"/>
        <v>-1.4425965061442221</v>
      </c>
      <c r="T66">
        <f t="shared" si="12"/>
        <v>0.93813905442543644</v>
      </c>
    </row>
    <row r="67" spans="1:20" ht="19" thickBot="1" x14ac:dyDescent="0.5">
      <c r="A67" s="3">
        <v>3</v>
      </c>
      <c r="B67" s="3">
        <v>15.3</v>
      </c>
      <c r="C67" s="3">
        <v>56.9</v>
      </c>
      <c r="D67" s="3">
        <v>19.600000000000001</v>
      </c>
      <c r="E67" s="3">
        <v>10.5</v>
      </c>
      <c r="F67" s="3">
        <v>13.5</v>
      </c>
      <c r="G67" s="3">
        <v>12.1</v>
      </c>
      <c r="H67">
        <f t="shared" si="1"/>
        <v>-9.9144269132163135E-2</v>
      </c>
      <c r="I67">
        <f t="shared" si="2"/>
        <v>-0.48828690227622373</v>
      </c>
      <c r="J67">
        <f t="shared" si="3"/>
        <v>-0.28877283353302985</v>
      </c>
      <c r="K67">
        <f t="shared" si="4"/>
        <v>-0.68515094072180838</v>
      </c>
      <c r="L67">
        <f t="shared" si="5"/>
        <v>-0.55339703054755662</v>
      </c>
      <c r="M67">
        <f t="shared" si="6"/>
        <v>0.43385961501376552</v>
      </c>
      <c r="O67">
        <f t="shared" si="7"/>
        <v>0.95330282473695804</v>
      </c>
      <c r="P67">
        <f t="shared" si="8"/>
        <v>-0.20510642463371301</v>
      </c>
      <c r="Q67">
        <f t="shared" si="9"/>
        <v>0.2597712272506289</v>
      </c>
      <c r="R67">
        <f t="shared" si="10"/>
        <v>0.22512439105766988</v>
      </c>
      <c r="S67" s="5">
        <f t="shared" si="11"/>
        <v>0.45032480242581369</v>
      </c>
      <c r="T67">
        <f t="shared" si="12"/>
        <v>-0.15410465467137779</v>
      </c>
    </row>
    <row r="68" spans="1:20" ht="19" thickBot="1" x14ac:dyDescent="0.5">
      <c r="A68" s="3">
        <v>3</v>
      </c>
      <c r="B68" s="3">
        <v>15.3</v>
      </c>
      <c r="C68" s="3">
        <v>56.9</v>
      </c>
      <c r="D68" s="3">
        <v>19.5</v>
      </c>
      <c r="E68" s="3">
        <v>9.9</v>
      </c>
      <c r="F68" s="3">
        <v>14</v>
      </c>
      <c r="G68" s="3">
        <v>12.1</v>
      </c>
      <c r="H68">
        <f t="shared" si="1"/>
        <v>-9.9144269132163135E-2</v>
      </c>
      <c r="I68">
        <f t="shared" si="2"/>
        <v>-0.48828690227622373</v>
      </c>
      <c r="J68">
        <f t="shared" si="3"/>
        <v>-0.43813809225701428</v>
      </c>
      <c r="K68">
        <f t="shared" si="4"/>
        <v>-1.0717564872106031</v>
      </c>
      <c r="L68">
        <f t="shared" si="5"/>
        <v>1.9082656225770381E-2</v>
      </c>
      <c r="M68">
        <f t="shared" si="6"/>
        <v>0.43385961501376552</v>
      </c>
      <c r="O68">
        <f t="shared" si="7"/>
        <v>1.03022452335363</v>
      </c>
      <c r="P68">
        <f t="shared" si="8"/>
        <v>-0.40519187248539706</v>
      </c>
      <c r="Q68">
        <f t="shared" si="9"/>
        <v>-0.33519874270688627</v>
      </c>
      <c r="R68">
        <f t="shared" si="10"/>
        <v>2.3862606768974698E-2</v>
      </c>
      <c r="S68" s="5">
        <f t="shared" si="11"/>
        <v>0.54390296724651321</v>
      </c>
      <c r="T68">
        <f t="shared" si="12"/>
        <v>-0.37838849650090711</v>
      </c>
    </row>
    <row r="69" spans="1:20" ht="19" thickBot="1" x14ac:dyDescent="0.5">
      <c r="A69" s="3">
        <v>3</v>
      </c>
      <c r="B69" s="3">
        <v>15.2</v>
      </c>
      <c r="C69" s="3">
        <v>58</v>
      </c>
      <c r="D69" s="3">
        <v>20.6</v>
      </c>
      <c r="E69" s="3">
        <v>11</v>
      </c>
      <c r="F69" s="3">
        <v>15.1</v>
      </c>
      <c r="G69" s="3">
        <v>11.7</v>
      </c>
      <c r="H69">
        <f t="shared" si="1"/>
        <v>-0.27410474407127711</v>
      </c>
      <c r="I69">
        <f t="shared" si="2"/>
        <v>0.15625180872839059</v>
      </c>
      <c r="J69">
        <f t="shared" si="3"/>
        <v>1.2048797537067932</v>
      </c>
      <c r="K69">
        <f t="shared" si="4"/>
        <v>-0.3629796519811459</v>
      </c>
      <c r="L69">
        <f t="shared" si="5"/>
        <v>1.2785379671270896</v>
      </c>
      <c r="M69">
        <f t="shared" si="6"/>
        <v>-0.41963470960349458</v>
      </c>
      <c r="O69">
        <f t="shared" si="7"/>
        <v>-0.49700000511824055</v>
      </c>
      <c r="P69">
        <f t="shared" si="8"/>
        <v>-0.57789415813878797</v>
      </c>
      <c r="Q69">
        <f t="shared" si="9"/>
        <v>-0.90221689513227221</v>
      </c>
      <c r="R69">
        <f t="shared" si="10"/>
        <v>-1.2499971410172122</v>
      </c>
      <c r="S69" s="5">
        <f t="shared" si="11"/>
        <v>-0.12366228682241337</v>
      </c>
      <c r="T69">
        <f t="shared" si="12"/>
        <v>0.72183024259710604</v>
      </c>
    </row>
    <row r="70" spans="1:20" ht="19" thickBot="1" x14ac:dyDescent="0.5">
      <c r="A70" s="3">
        <v>3</v>
      </c>
      <c r="B70" s="3">
        <v>16.600000000000001</v>
      </c>
      <c r="C70" s="3">
        <v>59.3</v>
      </c>
      <c r="D70" s="3">
        <v>19.899999999999999</v>
      </c>
      <c r="E70" s="3">
        <v>12.1</v>
      </c>
      <c r="F70" s="3">
        <v>14.6</v>
      </c>
      <c r="G70" s="3">
        <v>12.1</v>
      </c>
      <c r="H70">
        <f t="shared" si="1"/>
        <v>2.1753419050762872</v>
      </c>
      <c r="I70">
        <f t="shared" si="2"/>
        <v>0.91797937627929571</v>
      </c>
      <c r="J70">
        <f t="shared" si="3"/>
        <v>0.15932294263891283</v>
      </c>
      <c r="K70">
        <f t="shared" si="4"/>
        <v>0.34579718324831132</v>
      </c>
      <c r="L70">
        <f t="shared" si="5"/>
        <v>0.70605828035376239</v>
      </c>
      <c r="M70">
        <f t="shared" si="6"/>
        <v>0.43385961501376552</v>
      </c>
      <c r="O70">
        <f t="shared" si="7"/>
        <v>-1.1767463373020837</v>
      </c>
      <c r="P70">
        <f t="shared" si="8"/>
        <v>-0.69706867875576406</v>
      </c>
      <c r="Q70">
        <f t="shared" si="9"/>
        <v>-1.1490869052766912</v>
      </c>
      <c r="R70">
        <f t="shared" si="10"/>
        <v>1.6787437795932634</v>
      </c>
      <c r="S70" s="5">
        <f t="shared" si="11"/>
        <v>-0.38397003032041876</v>
      </c>
      <c r="T70">
        <f t="shared" si="12"/>
        <v>0.49985940844184495</v>
      </c>
    </row>
    <row r="71" spans="1:20" ht="19" thickBot="1" x14ac:dyDescent="0.5">
      <c r="A71" s="3">
        <v>3</v>
      </c>
      <c r="B71" s="3">
        <v>15.5</v>
      </c>
      <c r="C71" s="3">
        <v>58.2</v>
      </c>
      <c r="D71" s="3">
        <v>19.7</v>
      </c>
      <c r="E71" s="3">
        <v>11.7</v>
      </c>
      <c r="F71" s="3">
        <v>13.8</v>
      </c>
      <c r="G71" s="3">
        <v>12.1</v>
      </c>
      <c r="H71">
        <f t="shared" si="1"/>
        <v>0.25077668074605858</v>
      </c>
      <c r="I71">
        <f t="shared" si="2"/>
        <v>0.27344066527468563</v>
      </c>
      <c r="J71">
        <f t="shared" si="3"/>
        <v>-0.13940757480905072</v>
      </c>
      <c r="K71">
        <f t="shared" si="4"/>
        <v>8.8060152255781107E-2</v>
      </c>
      <c r="L71">
        <f t="shared" si="5"/>
        <v>-0.20990921848355962</v>
      </c>
      <c r="M71">
        <f t="shared" si="6"/>
        <v>0.43385961501376552</v>
      </c>
      <c r="O71">
        <f t="shared" si="7"/>
        <v>-0.18818947229416752</v>
      </c>
      <c r="P71">
        <f t="shared" si="8"/>
        <v>-0.11827226190162303</v>
      </c>
      <c r="Q71">
        <f t="shared" si="9"/>
        <v>0.13985360839228389</v>
      </c>
      <c r="R71">
        <f t="shared" si="10"/>
        <v>0.50099120017963172</v>
      </c>
      <c r="S71" s="5">
        <f t="shared" si="11"/>
        <v>0.26806479671929528</v>
      </c>
      <c r="T71">
        <f t="shared" si="12"/>
        <v>-7.3008840777800524E-2</v>
      </c>
    </row>
    <row r="72" spans="1:20" x14ac:dyDescent="0.45">
      <c r="N72" t="s">
        <v>14</v>
      </c>
      <c r="O72">
        <f>_xlfn.VAR.S(O42:O71)</f>
        <v>2.1782449507855359</v>
      </c>
      <c r="P72">
        <f t="shared" ref="P72:T72" si="13">_xlfn.VAR.S(P42:P71)</f>
        <v>0.97602240590106326</v>
      </c>
      <c r="Q72">
        <f t="shared" si="13"/>
        <v>0.65498637535740611</v>
      </c>
      <c r="R72">
        <f t="shared" si="13"/>
        <v>0.83463955069844598</v>
      </c>
      <c r="S72">
        <f t="shared" si="13"/>
        <v>0.87460276706950846</v>
      </c>
      <c r="T72">
        <f t="shared" si="13"/>
        <v>0.48150395852972605</v>
      </c>
    </row>
    <row r="74" spans="1:20" x14ac:dyDescent="0.45">
      <c r="B74" t="s">
        <v>39</v>
      </c>
      <c r="C74" t="s">
        <v>19</v>
      </c>
      <c r="D74" t="s">
        <v>20</v>
      </c>
      <c r="E74" t="s">
        <v>21</v>
      </c>
      <c r="F74" t="s">
        <v>22</v>
      </c>
      <c r="G74" t="s">
        <v>23</v>
      </c>
      <c r="H74" t="s">
        <v>24</v>
      </c>
      <c r="L74" t="s">
        <v>19</v>
      </c>
      <c r="M74" t="s">
        <v>20</v>
      </c>
      <c r="N74" t="s">
        <v>21</v>
      </c>
      <c r="O74" t="s">
        <v>22</v>
      </c>
      <c r="P74" t="s">
        <v>23</v>
      </c>
      <c r="Q74" t="s">
        <v>24</v>
      </c>
    </row>
    <row r="75" spans="1:20" x14ac:dyDescent="0.45">
      <c r="B75" t="s">
        <v>8</v>
      </c>
      <c r="C75" cm="1">
        <f t="array" ref="C75:H80">MMULT(J10:O15,K33:P38)</f>
        <v>-7.7337129027045842E-2</v>
      </c>
      <c r="D75">
        <v>-0.33774255000039077</v>
      </c>
      <c r="E75">
        <v>-0.14335951961419549</v>
      </c>
      <c r="F75">
        <v>0.21443710814563219</v>
      </c>
      <c r="G75">
        <v>-7.2251091507149451E-2</v>
      </c>
      <c r="H75">
        <v>2.9358327723620577E-2</v>
      </c>
      <c r="K75" t="s">
        <v>38</v>
      </c>
      <c r="L75">
        <f>O72/SUM($O$72:$T$72)</f>
        <v>0.36304082462619391</v>
      </c>
      <c r="M75">
        <f t="shared" ref="M75:Q75" si="14">P72/SUM($O$72:$T$72)</f>
        <v>0.16267040075735298</v>
      </c>
      <c r="N75">
        <f t="shared" si="14"/>
        <v>0.10916439574113185</v>
      </c>
      <c r="O75">
        <f t="shared" si="14"/>
        <v>0.13910659158967709</v>
      </c>
      <c r="P75">
        <f t="shared" si="14"/>
        <v>0.14576712764226082</v>
      </c>
      <c r="Q75">
        <f t="shared" si="14"/>
        <v>8.0250659643383376E-2</v>
      </c>
      <c r="R75">
        <f>SUM(L75:Q75)</f>
        <v>1</v>
      </c>
    </row>
    <row r="76" spans="1:20" x14ac:dyDescent="0.45">
      <c r="B76" t="s">
        <v>9</v>
      </c>
      <c r="C76">
        <v>-3.3171474379443682</v>
      </c>
      <c r="D76">
        <v>-0.8376412819457465</v>
      </c>
      <c r="E76">
        <v>7.9215712395746929E-2</v>
      </c>
      <c r="F76">
        <v>1.4608276396781569E-2</v>
      </c>
      <c r="G76">
        <v>-6.5248221678160245E-3</v>
      </c>
      <c r="H76">
        <v>-3.9066083168275721E-2</v>
      </c>
    </row>
    <row r="77" spans="1:20" x14ac:dyDescent="0.45">
      <c r="B77" t="s">
        <v>10</v>
      </c>
      <c r="C77">
        <v>-0.85917606032933325</v>
      </c>
      <c r="D77">
        <v>-0.52233788993926433</v>
      </c>
      <c r="E77">
        <v>5.1728619427816293E-2</v>
      </c>
      <c r="F77">
        <v>-9.2958143842528804E-2</v>
      </c>
      <c r="G77">
        <v>-5.8162966435557073E-6</v>
      </c>
      <c r="H77">
        <v>8.8821230991724176E-2</v>
      </c>
    </row>
    <row r="78" spans="1:20" x14ac:dyDescent="0.45">
      <c r="B78" t="s">
        <v>11</v>
      </c>
      <c r="C78">
        <v>-2.5770145893087482</v>
      </c>
      <c r="D78">
        <v>1.2059502832485287</v>
      </c>
      <c r="E78">
        <v>7.1575301067643954E-2</v>
      </c>
      <c r="F78">
        <v>4.4559648017816186E-2</v>
      </c>
      <c r="G78">
        <v>-1.6579960555333229E-2</v>
      </c>
      <c r="H78">
        <v>2.0643581604310159E-2</v>
      </c>
    </row>
    <row r="79" spans="1:20" x14ac:dyDescent="0.45">
      <c r="B79" t="s">
        <v>12</v>
      </c>
      <c r="C79">
        <v>-1.3592469376372993</v>
      </c>
      <c r="D79">
        <v>0.11872781010149408</v>
      </c>
      <c r="E79">
        <v>-0.35238482474373573</v>
      </c>
      <c r="F79">
        <v>-9.0545668431839074E-2</v>
      </c>
      <c r="G79">
        <v>2.0971580798390795E-2</v>
      </c>
      <c r="H79">
        <v>-3.7446185963796175E-3</v>
      </c>
    </row>
    <row r="80" spans="1:20" x14ac:dyDescent="0.45">
      <c r="B80" t="s">
        <v>13</v>
      </c>
      <c r="C80">
        <v>-0.22907208623932196</v>
      </c>
      <c r="D80">
        <v>-6.8327872858597649E-2</v>
      </c>
      <c r="E80">
        <v>-6.9837375459194514E-3</v>
      </c>
      <c r="F80">
        <v>0.10070502465183899</v>
      </c>
      <c r="G80">
        <v>0.18098176273271249</v>
      </c>
      <c r="H80">
        <v>1.2639888316034534E-2</v>
      </c>
    </row>
    <row r="82" spans="2:8" x14ac:dyDescent="0.45">
      <c r="B82" t="s">
        <v>37</v>
      </c>
      <c r="C82" t="s">
        <v>19</v>
      </c>
      <c r="D82" t="s">
        <v>20</v>
      </c>
      <c r="E82" t="s">
        <v>21</v>
      </c>
      <c r="F82" t="s">
        <v>22</v>
      </c>
      <c r="G82" t="s">
        <v>23</v>
      </c>
      <c r="H82" t="s">
        <v>24</v>
      </c>
    </row>
    <row r="83" spans="2:8" x14ac:dyDescent="0.45">
      <c r="B83" t="s">
        <v>8</v>
      </c>
      <c r="C83">
        <f>K33/SQRT(B$33)*SQRT(K$29)</f>
        <v>-6.3755057583482683E-2</v>
      </c>
      <c r="D83">
        <f t="shared" ref="D83:H83" si="15">L33/SQRT(C$33)*SQRT(L$29)</f>
        <v>-0.1564274484324045</v>
      </c>
      <c r="E83">
        <f t="shared" si="15"/>
        <v>-0.33917940175874234</v>
      </c>
      <c r="F83">
        <f t="shared" si="15"/>
        <v>0.26388521652623098</v>
      </c>
      <c r="G83">
        <f t="shared" si="15"/>
        <v>-0.18647358366972772</v>
      </c>
      <c r="H83">
        <f t="shared" si="15"/>
        <v>0.19397350082739076</v>
      </c>
    </row>
    <row r="84" spans="2:8" x14ac:dyDescent="0.45">
      <c r="B84" t="s">
        <v>9</v>
      </c>
      <c r="C84">
        <f t="shared" ref="C84:C88" si="16">K34/SQRT(B$33)*SQRT(K$29)</f>
        <v>-2.7345846508159486</v>
      </c>
      <c r="D84">
        <f>L34/SQRT(C$33)*SQRT(L$29)</f>
        <v>-0.38795848582013964</v>
      </c>
      <c r="E84">
        <f t="shared" ref="E84:E88" si="17">M34/SQRT(D$33)*SQRT(M$29)</f>
        <v>0.18741928151418699</v>
      </c>
      <c r="F84">
        <f t="shared" ref="F84:F88" si="18">N34/SQRT(E$33)*SQRT(N$29)</f>
        <v>1.7976871805080397E-2</v>
      </c>
      <c r="G84">
        <f t="shared" ref="G84:G88" si="19">O34/SQRT(F$33)*SQRT(O$29)</f>
        <v>-1.684006275155055E-2</v>
      </c>
      <c r="H84">
        <f t="shared" ref="H84:H88" si="20">P34/SQRT(G$33)*SQRT(P$29)</f>
        <v>-0.25811364703289141</v>
      </c>
    </row>
    <row r="85" spans="2:8" x14ac:dyDescent="0.45">
      <c r="B85" t="s">
        <v>10</v>
      </c>
      <c r="C85">
        <f t="shared" si="16"/>
        <v>-0.70828617266596894</v>
      </c>
      <c r="D85">
        <f t="shared" ref="D84:D88" si="21">L35/SQRT(C$33)*SQRT(L$29)</f>
        <v>-0.2419238656675303</v>
      </c>
      <c r="E85">
        <f t="shared" si="17"/>
        <v>0.12238658687062903</v>
      </c>
      <c r="F85">
        <f t="shared" si="18"/>
        <v>-0.11439381944572954</v>
      </c>
      <c r="G85">
        <f t="shared" si="19"/>
        <v>-1.5034845601946002E-5</v>
      </c>
      <c r="H85">
        <f t="shared" si="20"/>
        <v>0.5868510395198524</v>
      </c>
    </row>
    <row r="86" spans="2:8" x14ac:dyDescent="0.45">
      <c r="B86" t="s">
        <v>11</v>
      </c>
      <c r="C86">
        <f t="shared" si="16"/>
        <v>-2.1244351266725534</v>
      </c>
      <c r="D86">
        <f t="shared" si="21"/>
        <v>0.55854296616644061</v>
      </c>
      <c r="E86">
        <f t="shared" si="17"/>
        <v>0.16934255832128151</v>
      </c>
      <c r="F86">
        <f t="shared" si="18"/>
        <v>5.4834876846068012E-2</v>
      </c>
      <c r="G86">
        <f t="shared" si="19"/>
        <v>-4.2791398889478048E-2</v>
      </c>
      <c r="H86">
        <f t="shared" si="20"/>
        <v>0.13639427563646034</v>
      </c>
    </row>
    <row r="87" spans="2:8" x14ac:dyDescent="0.45">
      <c r="B87" t="s">
        <v>12</v>
      </c>
      <c r="C87">
        <f t="shared" si="16"/>
        <v>-1.120533797638656</v>
      </c>
      <c r="D87">
        <f t="shared" si="21"/>
        <v>5.4989483614991078E-2</v>
      </c>
      <c r="E87">
        <f t="shared" si="17"/>
        <v>-0.83371982800043087</v>
      </c>
      <c r="F87">
        <f t="shared" si="18"/>
        <v>-0.11142503943654253</v>
      </c>
      <c r="G87">
        <f t="shared" si="19"/>
        <v>5.4125747911521492E-2</v>
      </c>
      <c r="H87">
        <f t="shared" si="20"/>
        <v>-2.4741082551451632E-2</v>
      </c>
    </row>
    <row r="88" spans="2:8" x14ac:dyDescent="0.45">
      <c r="B88" t="s">
        <v>13</v>
      </c>
      <c r="C88">
        <f t="shared" si="16"/>
        <v>-0.18884207785371052</v>
      </c>
      <c r="D88">
        <f t="shared" si="21"/>
        <v>-3.1646456102068093E-2</v>
      </c>
      <c r="E88">
        <f t="shared" si="17"/>
        <v>-1.6523073692381169E-2</v>
      </c>
      <c r="F88">
        <f t="shared" si="18"/>
        <v>0.12392709201421397</v>
      </c>
      <c r="G88">
        <f t="shared" si="19"/>
        <v>0.46709767194767315</v>
      </c>
      <c r="H88">
        <f t="shared" si="20"/>
        <v>8.3513046802667842E-2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PIYAPAT JANTAWEE</dc:creator>
  <cp:lastModifiedBy>PIYAPAT JANTAWEE</cp:lastModifiedBy>
  <dcterms:created xsi:type="dcterms:W3CDTF">2025-03-02T09:27:30Z</dcterms:created>
  <dcterms:modified xsi:type="dcterms:W3CDTF">2025-03-02T13:53:49Z</dcterms:modified>
</cp:coreProperties>
</file>