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421 Design of Experiment\"/>
    </mc:Choice>
  </mc:AlternateContent>
  <xr:revisionPtr revIDLastSave="0" documentId="8_{5D90665E-B01B-4AF4-AD6D-778A95A436D6}" xr6:coauthVersionLast="47" xr6:coauthVersionMax="47" xr10:uidLastSave="{00000000-0000-0000-0000-000000000000}"/>
  <bookViews>
    <workbookView xWindow="-110" yWindow="-110" windowWidth="19420" windowHeight="11500" xr2:uid="{35BCDBF4-FC99-426E-9E5E-9735B1C52551}"/>
  </bookViews>
  <sheets>
    <sheet name="ข้อ 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9" i="1"/>
  <c r="B18" i="1"/>
  <c r="G35" i="1"/>
  <c r="C35" i="1"/>
  <c r="C36" i="1"/>
  <c r="G34" i="1"/>
  <c r="G31" i="1"/>
  <c r="E34" i="1"/>
  <c r="D37" i="1"/>
  <c r="D33" i="1"/>
  <c r="D30" i="1"/>
  <c r="I8" i="1"/>
  <c r="H8" i="1"/>
  <c r="F8" i="1"/>
  <c r="E8" i="1"/>
  <c r="C8" i="1"/>
  <c r="B8" i="1"/>
  <c r="H13" i="1"/>
  <c r="I12" i="1"/>
  <c r="I13" i="1"/>
  <c r="I11" i="1"/>
  <c r="H12" i="1"/>
  <c r="H11" i="1"/>
  <c r="G12" i="1"/>
  <c r="G13" i="1"/>
  <c r="G11" i="1"/>
  <c r="B16" i="1"/>
  <c r="D34" i="1" s="1"/>
  <c r="B15" i="1"/>
  <c r="C37" i="1"/>
  <c r="C34" i="1"/>
  <c r="C32" i="1"/>
  <c r="C31" i="1"/>
  <c r="B22" i="1" l="1"/>
  <c r="B24" i="1" s="1"/>
  <c r="B20" i="1"/>
  <c r="B17" i="1"/>
  <c r="D31" i="1"/>
  <c r="E31" i="1" s="1"/>
  <c r="F31" i="1" l="1"/>
  <c r="H31" i="1" s="1"/>
  <c r="B23" i="1"/>
  <c r="D32" i="1" s="1"/>
  <c r="E32" i="1" s="1"/>
  <c r="D35" i="1" l="1"/>
  <c r="E35" i="1" s="1"/>
  <c r="B25" i="1"/>
  <c r="D36" i="1" s="1"/>
  <c r="E36" i="1" s="1"/>
  <c r="F34" i="1" s="1"/>
  <c r="H34" i="1" s="1"/>
  <c r="F35" i="1" l="1"/>
  <c r="H35" i="1" s="1"/>
</calcChain>
</file>

<file path=xl/sharedStrings.xml><?xml version="1.0" encoding="utf-8"?>
<sst xmlns="http://schemas.openxmlformats.org/spreadsheetml/2006/main" count="53" uniqueCount="41">
  <si>
    <t>0 องศา</t>
  </si>
  <si>
    <t>หอย 1</t>
  </si>
  <si>
    <t>หอย 2</t>
  </si>
  <si>
    <t>ค่าเฉลี่ย</t>
  </si>
  <si>
    <t>5 องศา</t>
  </si>
  <si>
    <t>10 องศา</t>
  </si>
  <si>
    <t>ซ้ำ 1</t>
  </si>
  <si>
    <t>ซ้ำ 2</t>
  </si>
  <si>
    <t>ซ้ำ 3</t>
  </si>
  <si>
    <t>REP</t>
  </si>
  <si>
    <t>ตาราง 1</t>
  </si>
  <si>
    <t>หอย 1 (นางรม)</t>
  </si>
  <si>
    <t>หอย 2 (แมลงภู่)</t>
  </si>
  <si>
    <t>ตาราง 2 (Log)</t>
  </si>
  <si>
    <t>whole plot</t>
  </si>
  <si>
    <t>A</t>
  </si>
  <si>
    <t>Err(a)</t>
  </si>
  <si>
    <t>Sub plot</t>
  </si>
  <si>
    <t>B</t>
  </si>
  <si>
    <t>Err(b)</t>
  </si>
  <si>
    <t>df</t>
  </si>
  <si>
    <t>AB</t>
  </si>
  <si>
    <t>Total</t>
  </si>
  <si>
    <t>SS</t>
  </si>
  <si>
    <t>SSA</t>
  </si>
  <si>
    <t>Sumsqure Total</t>
  </si>
  <si>
    <t>พจน์หลัง</t>
  </si>
  <si>
    <t>SST</t>
  </si>
  <si>
    <t>SSB</t>
  </si>
  <si>
    <t>SSAB</t>
  </si>
  <si>
    <t>SSE(a)</t>
  </si>
  <si>
    <t>Total Whole</t>
  </si>
  <si>
    <t>Total Sub</t>
  </si>
  <si>
    <t>SSWhole</t>
  </si>
  <si>
    <t>SSSub</t>
  </si>
  <si>
    <t>SSE(b)</t>
  </si>
  <si>
    <t>SSt</t>
  </si>
  <si>
    <t>MS</t>
  </si>
  <si>
    <t>Fคำนวณ</t>
  </si>
  <si>
    <t>F 0.05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</si>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</sst>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8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9705-CBC8-480B-A95A-FCB8D0F19EA3}">
  <dimension ref="A1:W37"/>
  <sheetViews>
    <sheetView tabSelected="1" topLeftCell="A2" workbookViewId="0">
      <selection activeCell="G35" sqref="G35"/>
    </sheetView>
  </sheetViews>
  <sheetFormatPr defaultRowHeight="16.5" x14ac:dyDescent="0.45"/>
  <cols>
    <col min="1" max="1" width="13" style="1" customWidth="1"/>
    <col min="2" max="16384" width="8.6640625" style="1"/>
  </cols>
  <sheetData>
    <row r="1" spans="1:23" x14ac:dyDescent="0.45">
      <c r="A1" s="11" t="s">
        <v>10</v>
      </c>
    </row>
    <row r="3" spans="1:23" x14ac:dyDescent="0.45">
      <c r="A3" s="30" t="s">
        <v>9</v>
      </c>
      <c r="B3" s="30" t="s">
        <v>0</v>
      </c>
      <c r="C3" s="30"/>
      <c r="D3" s="30" t="s">
        <v>3</v>
      </c>
      <c r="E3" s="30" t="s">
        <v>4</v>
      </c>
      <c r="F3" s="30"/>
      <c r="G3" s="30" t="s">
        <v>3</v>
      </c>
      <c r="H3" s="30" t="s">
        <v>5</v>
      </c>
      <c r="I3" s="30"/>
      <c r="J3" s="30" t="s">
        <v>3</v>
      </c>
    </row>
    <row r="4" spans="1:23" x14ac:dyDescent="0.45">
      <c r="A4" s="30"/>
      <c r="B4" s="6" t="s">
        <v>1</v>
      </c>
      <c r="C4" s="6" t="s">
        <v>2</v>
      </c>
      <c r="D4" s="30"/>
      <c r="E4" s="6" t="s">
        <v>1</v>
      </c>
      <c r="F4" s="6" t="s">
        <v>2</v>
      </c>
      <c r="G4" s="30"/>
      <c r="H4" s="6" t="s">
        <v>1</v>
      </c>
      <c r="I4" s="6" t="s">
        <v>2</v>
      </c>
      <c r="J4" s="30"/>
    </row>
    <row r="5" spans="1:23" x14ac:dyDescent="0.45">
      <c r="A5" s="21" t="s">
        <v>6</v>
      </c>
      <c r="B5" s="4">
        <v>3.6880000000000002</v>
      </c>
      <c r="C5" s="2">
        <v>0.35699999999999998</v>
      </c>
      <c r="D5" s="5">
        <v>2.0219999999999998</v>
      </c>
      <c r="E5" s="2">
        <v>7.1950000000000003</v>
      </c>
      <c r="F5" s="2">
        <v>5.0170000000000003</v>
      </c>
      <c r="G5" s="3">
        <v>6.1059999999999999</v>
      </c>
      <c r="H5" s="2">
        <v>9.7840000000000007</v>
      </c>
      <c r="I5" s="2">
        <v>10.135</v>
      </c>
      <c r="J5" s="3">
        <v>9.9600000000000009</v>
      </c>
    </row>
    <row r="6" spans="1:23" x14ac:dyDescent="0.45">
      <c r="A6" s="21" t="s">
        <v>7</v>
      </c>
      <c r="B6" s="4">
        <v>1.8280000000000001</v>
      </c>
      <c r="C6" s="2">
        <v>1.702</v>
      </c>
      <c r="D6" s="5">
        <v>1.7649999999999999</v>
      </c>
      <c r="E6" s="2">
        <v>9.3219999999999992</v>
      </c>
      <c r="F6" s="2">
        <v>7.952</v>
      </c>
      <c r="G6" s="3">
        <v>8.6370000000000005</v>
      </c>
      <c r="H6" s="2">
        <v>6.47</v>
      </c>
      <c r="I6" s="2">
        <v>5.048</v>
      </c>
      <c r="J6" s="3">
        <v>5.7590000000000003</v>
      </c>
    </row>
    <row r="7" spans="1:23" x14ac:dyDescent="0.45">
      <c r="A7" s="22" t="s">
        <v>8</v>
      </c>
      <c r="B7" s="8">
        <v>5.2329999999999997</v>
      </c>
      <c r="C7" s="9">
        <v>4.5780000000000003</v>
      </c>
      <c r="D7" s="10">
        <v>4.9050000000000002</v>
      </c>
      <c r="E7" s="9">
        <v>7.42</v>
      </c>
      <c r="F7" s="9">
        <v>6.3860000000000001</v>
      </c>
      <c r="G7" s="7">
        <v>6.9029999999999996</v>
      </c>
      <c r="H7" s="9">
        <v>9.4440000000000008</v>
      </c>
      <c r="I7" s="9">
        <v>11.032999999999999</v>
      </c>
      <c r="J7" s="7">
        <v>10.238</v>
      </c>
    </row>
    <row r="8" spans="1:23" x14ac:dyDescent="0.45">
      <c r="A8" s="1" t="s">
        <v>22</v>
      </c>
      <c r="B8" s="1">
        <f>SUM(B5:B7)</f>
        <v>10.748999999999999</v>
      </c>
      <c r="C8" s="1">
        <f>SUM(C5:C7)</f>
        <v>6.6370000000000005</v>
      </c>
      <c r="D8" s="23"/>
      <c r="E8" s="1">
        <f>SUM(E5:E7)</f>
        <v>23.936999999999998</v>
      </c>
      <c r="F8" s="1">
        <f>SUM(F5:F7)</f>
        <v>19.355</v>
      </c>
      <c r="G8" s="23"/>
      <c r="H8" s="1">
        <f>SUM(H5:H7)</f>
        <v>25.698</v>
      </c>
      <c r="I8" s="1">
        <f>SUM(I5:I7)</f>
        <v>26.216000000000001</v>
      </c>
      <c r="J8" s="23"/>
    </row>
    <row r="10" spans="1:23" x14ac:dyDescent="0.45">
      <c r="A10" s="16" t="s">
        <v>13</v>
      </c>
      <c r="B10" s="15" t="s">
        <v>0</v>
      </c>
      <c r="C10" s="17" t="s">
        <v>4</v>
      </c>
      <c r="D10" s="18" t="s">
        <v>5</v>
      </c>
      <c r="E10" s="17" t="s">
        <v>3</v>
      </c>
      <c r="G10" s="31" t="s">
        <v>31</v>
      </c>
      <c r="H10" s="32"/>
      <c r="L10" s="31" t="s">
        <v>32</v>
      </c>
      <c r="M10" s="32"/>
    </row>
    <row r="11" spans="1:23" x14ac:dyDescent="0.45">
      <c r="A11" s="19" t="s">
        <v>11</v>
      </c>
      <c r="B11" s="1">
        <v>3.5830000000000002</v>
      </c>
      <c r="C11" s="1">
        <v>7.9790000000000001</v>
      </c>
      <c r="D11" s="1">
        <v>8.5660000000000007</v>
      </c>
      <c r="E11" s="20">
        <v>6.7089999999999996</v>
      </c>
      <c r="G11" s="1">
        <f>SUM(B5:C5)</f>
        <v>4.0449999999999999</v>
      </c>
      <c r="H11" s="1">
        <f>SUM(E5:F5)</f>
        <v>12.212</v>
      </c>
      <c r="I11" s="1">
        <f>SUM(H5:I5)</f>
        <v>19.919</v>
      </c>
    </row>
    <row r="12" spans="1:23" x14ac:dyDescent="0.45">
      <c r="A12" s="20" t="s">
        <v>12</v>
      </c>
      <c r="B12" s="1">
        <v>2.2120000000000002</v>
      </c>
      <c r="C12" s="1">
        <v>6.452</v>
      </c>
      <c r="D12" s="1">
        <v>8.7390000000000008</v>
      </c>
      <c r="E12" s="20">
        <v>5.8010000000000002</v>
      </c>
      <c r="G12" s="1">
        <f>SUM(B6:C6)</f>
        <v>3.5300000000000002</v>
      </c>
      <c r="H12" s="1">
        <f>SUM(E6:F6)</f>
        <v>17.274000000000001</v>
      </c>
      <c r="I12" s="1">
        <f>SUM(H6:I6)</f>
        <v>11.518000000000001</v>
      </c>
    </row>
    <row r="13" spans="1:23" x14ac:dyDescent="0.45">
      <c r="A13" s="17" t="s">
        <v>3</v>
      </c>
      <c r="B13" s="14">
        <v>2.8980000000000001</v>
      </c>
      <c r="C13" s="14">
        <v>7.2149999999999999</v>
      </c>
      <c r="D13" s="14">
        <v>8.6519999999999992</v>
      </c>
      <c r="E13" s="17">
        <v>6.2549999999999999</v>
      </c>
      <c r="G13" s="1">
        <f>SUM(B7:C7)</f>
        <v>9.8109999999999999</v>
      </c>
      <c r="H13" s="1">
        <f>SUM(E7:F7)</f>
        <v>13.806000000000001</v>
      </c>
      <c r="I13" s="1">
        <f>SUM(H7:I7)</f>
        <v>20.477</v>
      </c>
    </row>
    <row r="15" spans="1:23" x14ac:dyDescent="0.45">
      <c r="A15" s="1" t="s">
        <v>25</v>
      </c>
      <c r="B15" s="24">
        <f>SUMSQ(B5:C7,E5:F7,H5:I7)</f>
        <v>867.92356199999995</v>
      </c>
      <c r="C15" s="24"/>
      <c r="D15" s="24"/>
      <c r="E15" s="24"/>
      <c r="F15" s="24"/>
      <c r="G15" s="25"/>
      <c r="H15" s="2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45">
      <c r="A16" s="1" t="s">
        <v>26</v>
      </c>
      <c r="B16" s="24">
        <f>(SUM(B5:C7,E5:F7,H5:I7)^2)/18</f>
        <v>704.27547022222234</v>
      </c>
      <c r="C16" s="24"/>
      <c r="D16" s="24"/>
      <c r="E16" s="24"/>
      <c r="F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x14ac:dyDescent="0.45">
      <c r="A17" s="1" t="s">
        <v>27</v>
      </c>
      <c r="B17" s="24">
        <f>B15-B16</f>
        <v>163.64809177777761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45">
      <c r="A18" s="1" t="s">
        <v>24</v>
      </c>
      <c r="B18" s="24">
        <f>((SUM(B5:C7)^2+SUM(E5:F7)^2+SUM(H5:I7)^2)/6 )-B16</f>
        <v>107.64680577777756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x14ac:dyDescent="0.45">
      <c r="A19" s="1" t="s">
        <v>28</v>
      </c>
      <c r="B19" s="24">
        <f>((SUM(B5:B7,E5:E7,H5:H7)^2+SUM(C5:C7,F5:F7,I5:I7)^2)/9)-B16</f>
        <v>3.7137208888888154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x14ac:dyDescent="0.45">
      <c r="A20" s="1" t="s">
        <v>36</v>
      </c>
      <c r="B20" s="24">
        <f>(B8^2+C8^2+E8^2+F8^2+H8^2+I8^2)/3 - B16</f>
        <v>114.0087377777777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x14ac:dyDescent="0.45">
      <c r="A21" s="1" t="s">
        <v>29</v>
      </c>
      <c r="B21" s="24">
        <f>B20-B18-B19</f>
        <v>2.6482111111113227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x14ac:dyDescent="0.45">
      <c r="A22" s="1" t="s">
        <v>33</v>
      </c>
      <c r="B22" s="24">
        <f>(G11^2+H11^2+I11^2+G12^2+H12^2+I12^2+G13^2+H13^2+I13^2)/2 - B16</f>
        <v>151.69788777777774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x14ac:dyDescent="0.45">
      <c r="A23" s="1" t="s">
        <v>30</v>
      </c>
      <c r="B23" s="24">
        <f>B22-B18</f>
        <v>44.051082000000179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x14ac:dyDescent="0.45">
      <c r="A24" s="1" t="s">
        <v>34</v>
      </c>
      <c r="B24" s="24">
        <f>B17-B22</f>
        <v>11.950203999999871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x14ac:dyDescent="0.45">
      <c r="A25" s="1" t="s">
        <v>35</v>
      </c>
      <c r="B25" s="24">
        <f>B17-B22-B19-B21</f>
        <v>5.5882719999997335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x14ac:dyDescent="0.4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x14ac:dyDescent="0.4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x14ac:dyDescent="0.45">
      <c r="A28" s="29" t="s">
        <v>40</v>
      </c>
      <c r="B28" s="29"/>
      <c r="C28" s="29"/>
      <c r="D28" s="29"/>
      <c r="E28" s="29"/>
      <c r="F28" s="29"/>
      <c r="G28" s="29"/>
      <c r="H28" s="29"/>
    </row>
    <row r="29" spans="1:23" x14ac:dyDescent="0.45">
      <c r="C29" s="1" t="s">
        <v>20</v>
      </c>
      <c r="D29" s="1" t="s">
        <v>23</v>
      </c>
      <c r="E29" s="1" t="s">
        <v>37</v>
      </c>
      <c r="F29" s="1" t="s">
        <v>38</v>
      </c>
      <c r="G29" s="1" t="s">
        <v>39</v>
      </c>
    </row>
    <row r="30" spans="1:23" x14ac:dyDescent="0.45">
      <c r="A30" s="12" t="s">
        <v>14</v>
      </c>
      <c r="B30" s="12"/>
      <c r="C30" s="12"/>
      <c r="D30" s="27">
        <f>B22</f>
        <v>151.69788777777774</v>
      </c>
      <c r="E30" s="12"/>
      <c r="F30" s="12"/>
      <c r="G30" s="12"/>
      <c r="H30" s="12"/>
    </row>
    <row r="31" spans="1:23" x14ac:dyDescent="0.45">
      <c r="B31" s="1" t="s">
        <v>15</v>
      </c>
      <c r="C31" s="1">
        <f>3-1</f>
        <v>2</v>
      </c>
      <c r="D31" s="24">
        <f>B18</f>
        <v>107.64680577777756</v>
      </c>
      <c r="E31" s="24">
        <f>D31/C31</f>
        <v>53.823402888888779</v>
      </c>
      <c r="F31" s="24">
        <f>E31/E32</f>
        <v>7.3310439306197148</v>
      </c>
      <c r="G31" s="24">
        <f>_xlfn.F.INV(0.95,C31,C32)</f>
        <v>5.1432528497847159</v>
      </c>
      <c r="H31" s="1" t="str">
        <f>IF(F31&gt;G31,"Reject H0","Accept H0")</f>
        <v>Reject H0</v>
      </c>
    </row>
    <row r="32" spans="1:23" x14ac:dyDescent="0.45">
      <c r="A32" s="13"/>
      <c r="B32" s="13" t="s">
        <v>16</v>
      </c>
      <c r="C32" s="13">
        <f>3*(3-1)</f>
        <v>6</v>
      </c>
      <c r="D32" s="28">
        <f>B23</f>
        <v>44.051082000000179</v>
      </c>
      <c r="E32" s="28">
        <f>D32/C32</f>
        <v>7.3418470000000298</v>
      </c>
      <c r="F32" s="28"/>
      <c r="G32" s="28"/>
      <c r="H32" s="13"/>
    </row>
    <row r="33" spans="1:8" x14ac:dyDescent="0.45">
      <c r="A33" s="12" t="s">
        <v>17</v>
      </c>
      <c r="B33" s="12"/>
      <c r="C33" s="12"/>
      <c r="D33" s="27">
        <f>B24</f>
        <v>11.950203999999871</v>
      </c>
      <c r="E33" s="27"/>
      <c r="F33" s="27"/>
      <c r="G33" s="27"/>
      <c r="H33" s="12"/>
    </row>
    <row r="34" spans="1:8" x14ac:dyDescent="0.45">
      <c r="B34" s="1" t="s">
        <v>18</v>
      </c>
      <c r="C34" s="1">
        <f>2-1</f>
        <v>1</v>
      </c>
      <c r="D34" s="24">
        <f>B19</f>
        <v>3.7137208888888154</v>
      </c>
      <c r="E34" s="24">
        <f>D34/C34</f>
        <v>3.7137208888888154</v>
      </c>
      <c r="F34" s="24">
        <f>E34/E36</f>
        <v>3.9873372901916646</v>
      </c>
      <c r="G34" s="24">
        <f>_xlfn.F.INV(0.95,C34,C36)</f>
        <v>5.9873776072736975</v>
      </c>
      <c r="H34" s="1" t="str">
        <f>IF(F34&gt;G34,"Reject H0","Accept H0")</f>
        <v>Accept H0</v>
      </c>
    </row>
    <row r="35" spans="1:8" x14ac:dyDescent="0.45">
      <c r="B35" s="1" t="s">
        <v>21</v>
      </c>
      <c r="C35" s="1">
        <f>(2-1)*(3-1)</f>
        <v>2</v>
      </c>
      <c r="D35" s="24">
        <f>B21</f>
        <v>2.6482111111113227</v>
      </c>
      <c r="E35" s="24">
        <f>D35/C35</f>
        <v>1.3241055555556613</v>
      </c>
      <c r="F35" s="24">
        <f>E35/E36</f>
        <v>1.4216618899964688</v>
      </c>
      <c r="G35" s="24">
        <f>_xlfn.F.INV(0.95,C35,C36)</f>
        <v>5.1432528497847159</v>
      </c>
      <c r="H35" s="1" t="str">
        <f>IF(F35&gt;G35,"Reject H0","Accept H0")</f>
        <v>Accept H0</v>
      </c>
    </row>
    <row r="36" spans="1:8" x14ac:dyDescent="0.45">
      <c r="A36" s="13"/>
      <c r="B36" s="13" t="s">
        <v>19</v>
      </c>
      <c r="C36" s="13">
        <f>3*(2-1)*(3-1)</f>
        <v>6</v>
      </c>
      <c r="D36" s="28">
        <f>B25</f>
        <v>5.5882719999997335</v>
      </c>
      <c r="E36" s="28">
        <f>D36/C36</f>
        <v>0.93137866666662228</v>
      </c>
      <c r="F36" s="28"/>
      <c r="G36" s="13"/>
      <c r="H36" s="13"/>
    </row>
    <row r="37" spans="1:8" x14ac:dyDescent="0.45">
      <c r="A37" s="1" t="s">
        <v>22</v>
      </c>
      <c r="C37" s="1">
        <f>2*3*3-1</f>
        <v>17</v>
      </c>
      <c r="D37" s="24">
        <f>B17</f>
        <v>163.64809177777761</v>
      </c>
    </row>
  </sheetData>
  <mergeCells count="10">
    <mergeCell ref="A28:H28"/>
    <mergeCell ref="J3:J4"/>
    <mergeCell ref="G10:H10"/>
    <mergeCell ref="L10:M10"/>
    <mergeCell ref="A3:A4"/>
    <mergeCell ref="B3:C3"/>
    <mergeCell ref="D3:D4"/>
    <mergeCell ref="E3:F3"/>
    <mergeCell ref="G3:G4"/>
    <mergeCell ref="H3:I3"/>
  </mergeCells>
  <phoneticPr fontId="1" type="noConversion"/>
  <pageMargins left="0.7" right="0.7" top="0.75" bottom="0.75" header="0.3" footer="0.3"/>
  <ignoredErrors>
    <ignoredError sqref="G11:I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2026-05-13T13:11:46Z</dcterms:created>
  <dcterms:modified xsi:type="dcterms:W3CDTF">2026-05-14T13:15:37Z</dcterms:modified>
</cp:coreProperties>
</file>