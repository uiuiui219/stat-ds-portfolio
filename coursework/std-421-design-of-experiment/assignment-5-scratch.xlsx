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421 Design of Experiment\"/>
    </mc:Choice>
  </mc:AlternateContent>
  <xr:revisionPtr revIDLastSave="0" documentId="8_{E93E7751-A539-4763-8D4C-38E08095966E}" xr6:coauthVersionLast="47" xr6:coauthVersionMax="47" xr10:uidLastSave="{00000000-0000-0000-0000-000000000000}"/>
  <bookViews>
    <workbookView xWindow="-110" yWindow="-110" windowWidth="19420" windowHeight="11500" activeTab="1" xr2:uid="{5FF85B9E-2CA6-46F5-99D6-0FDECD5010B3}"/>
  </bookViews>
  <sheets>
    <sheet name="ข้อ 2" sheetId="1" r:id="rId1"/>
    <sheet name="ข้อ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2" l="1"/>
  <c r="T82" i="2"/>
  <c r="O75" i="2"/>
  <c r="P75" i="2"/>
  <c r="Q75" i="2"/>
  <c r="D75" i="2"/>
  <c r="E75" i="2"/>
  <c r="F75" i="2"/>
  <c r="G75" i="2"/>
  <c r="H75" i="2"/>
  <c r="I75" i="2"/>
  <c r="J75" i="2"/>
  <c r="K75" i="2"/>
  <c r="L75" i="2"/>
  <c r="M75" i="2"/>
  <c r="N75" i="2"/>
  <c r="C75" i="2"/>
  <c r="T76" i="2"/>
  <c r="T75" i="2"/>
  <c r="T74" i="2"/>
  <c r="T73" i="2"/>
  <c r="T70" i="2"/>
  <c r="T69" i="2"/>
  <c r="T67" i="2"/>
  <c r="T66" i="2"/>
  <c r="T68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16" i="2"/>
  <c r="B34" i="2" s="1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H61" i="1"/>
  <c r="M10" i="2"/>
  <c r="B28" i="2" s="1"/>
  <c r="B46" i="2" s="1"/>
  <c r="B64" i="2" s="1"/>
  <c r="M9" i="2"/>
  <c r="B27" i="2" s="1"/>
  <c r="B45" i="2" s="1"/>
  <c r="M8" i="2"/>
  <c r="B26" i="2" s="1"/>
  <c r="B44" i="2" s="1"/>
  <c r="M7" i="2"/>
  <c r="B25" i="2" s="1"/>
  <c r="B43" i="2" s="1"/>
  <c r="B61" i="2" s="1"/>
  <c r="M6" i="2"/>
  <c r="B24" i="2" s="1"/>
  <c r="B42" i="2" s="1"/>
  <c r="M5" i="2"/>
  <c r="B23" i="2" s="1"/>
  <c r="B41" i="2" s="1"/>
  <c r="B59" i="2" s="1"/>
  <c r="M4" i="2"/>
  <c r="B22" i="2" s="1"/>
  <c r="B40" i="2" s="1"/>
  <c r="B58" i="2" s="1"/>
  <c r="M3" i="2"/>
  <c r="B21" i="2" s="1"/>
  <c r="B39" i="2" s="1"/>
  <c r="K10" i="2"/>
  <c r="B20" i="2" s="1"/>
  <c r="B38" i="2" s="1"/>
  <c r="B56" i="2" s="1"/>
  <c r="K9" i="2"/>
  <c r="B19" i="2" s="1"/>
  <c r="B37" i="2" s="1"/>
  <c r="K8" i="2"/>
  <c r="B18" i="2" s="1"/>
  <c r="B36" i="2" s="1"/>
  <c r="K7" i="2"/>
  <c r="B17" i="2" s="1"/>
  <c r="B35" i="2" s="1"/>
  <c r="B53" i="2" s="1"/>
  <c r="K6" i="2"/>
  <c r="K5" i="2"/>
  <c r="B15" i="2" s="1"/>
  <c r="B33" i="2" s="1"/>
  <c r="B51" i="2" s="1"/>
  <c r="K4" i="2"/>
  <c r="B14" i="2" s="1"/>
  <c r="B32" i="2" s="1"/>
  <c r="K3" i="2"/>
  <c r="B13" i="2" s="1"/>
  <c r="B31" i="2" s="1"/>
  <c r="B49" i="2" s="1"/>
  <c r="D78" i="1"/>
  <c r="E78" i="1"/>
  <c r="F78" i="1"/>
  <c r="G78" i="1"/>
  <c r="I78" i="1"/>
  <c r="J78" i="1"/>
  <c r="K78" i="1"/>
  <c r="L78" i="1"/>
  <c r="M78" i="1"/>
  <c r="N78" i="1"/>
  <c r="O78" i="1"/>
  <c r="P78" i="1"/>
  <c r="Q78" i="1"/>
  <c r="C78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C75" i="1"/>
  <c r="T71" i="1"/>
  <c r="D73" i="1"/>
  <c r="E73" i="1"/>
  <c r="F73" i="1"/>
  <c r="G73" i="1"/>
  <c r="I73" i="1"/>
  <c r="J73" i="1"/>
  <c r="K73" i="1"/>
  <c r="L73" i="1"/>
  <c r="M73" i="1"/>
  <c r="N73" i="1"/>
  <c r="O73" i="1"/>
  <c r="P73" i="1"/>
  <c r="Q73" i="1"/>
  <c r="C73" i="1"/>
  <c r="T68" i="1"/>
  <c r="T69" i="1"/>
  <c r="T67" i="1"/>
  <c r="T66" i="1"/>
  <c r="D71" i="1"/>
  <c r="E71" i="1"/>
  <c r="F71" i="1"/>
  <c r="G71" i="1"/>
  <c r="I71" i="1"/>
  <c r="J71" i="1"/>
  <c r="K71" i="1"/>
  <c r="L71" i="1"/>
  <c r="M71" i="1"/>
  <c r="N71" i="1"/>
  <c r="O71" i="1"/>
  <c r="P71" i="1"/>
  <c r="Q71" i="1"/>
  <c r="C71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C70" i="1"/>
  <c r="D69" i="1"/>
  <c r="E69" i="1"/>
  <c r="F69" i="1"/>
  <c r="G69" i="1"/>
  <c r="I69" i="1"/>
  <c r="J69" i="1"/>
  <c r="K69" i="1"/>
  <c r="L69" i="1"/>
  <c r="M69" i="1"/>
  <c r="N69" i="1"/>
  <c r="O69" i="1"/>
  <c r="P69" i="1"/>
  <c r="Q69" i="1"/>
  <c r="C69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C68" i="1"/>
  <c r="D67" i="1"/>
  <c r="E67" i="1"/>
  <c r="F67" i="1"/>
  <c r="G67" i="1"/>
  <c r="H67" i="1"/>
  <c r="H71" i="1" s="1"/>
  <c r="H73" i="1" s="1"/>
  <c r="I67" i="1"/>
  <c r="J67" i="1"/>
  <c r="K67" i="1"/>
  <c r="L67" i="1"/>
  <c r="M67" i="1"/>
  <c r="N67" i="1"/>
  <c r="O67" i="1"/>
  <c r="P67" i="1"/>
  <c r="Q67" i="1"/>
  <c r="C67" i="1"/>
  <c r="F49" i="1"/>
  <c r="G49" i="1"/>
  <c r="H49" i="1"/>
  <c r="I49" i="1"/>
  <c r="J49" i="1"/>
  <c r="K49" i="1"/>
  <c r="L49" i="1"/>
  <c r="M49" i="1"/>
  <c r="D50" i="1"/>
  <c r="E50" i="1"/>
  <c r="F50" i="1"/>
  <c r="G50" i="1"/>
  <c r="H50" i="1"/>
  <c r="I50" i="1"/>
  <c r="J50" i="1"/>
  <c r="K50" i="1"/>
  <c r="N50" i="1"/>
  <c r="P50" i="1"/>
  <c r="Q50" i="1"/>
  <c r="O51" i="1"/>
  <c r="G52" i="1"/>
  <c r="H52" i="1"/>
  <c r="D53" i="1"/>
  <c r="E53" i="1"/>
  <c r="F53" i="1"/>
  <c r="P53" i="1"/>
  <c r="Q53" i="1"/>
  <c r="M54" i="1"/>
  <c r="N54" i="1"/>
  <c r="O54" i="1"/>
  <c r="J55" i="1"/>
  <c r="K55" i="1"/>
  <c r="L55" i="1"/>
  <c r="M55" i="1"/>
  <c r="G56" i="1"/>
  <c r="H56" i="1"/>
  <c r="I56" i="1"/>
  <c r="J56" i="1"/>
  <c r="K56" i="1"/>
  <c r="D57" i="1"/>
  <c r="E57" i="1"/>
  <c r="F57" i="1"/>
  <c r="G57" i="1"/>
  <c r="H57" i="1"/>
  <c r="I57" i="1"/>
  <c r="P57" i="1"/>
  <c r="Q57" i="1"/>
  <c r="D58" i="1"/>
  <c r="E58" i="1"/>
  <c r="F58" i="1"/>
  <c r="G58" i="1"/>
  <c r="M58" i="1"/>
  <c r="N58" i="1"/>
  <c r="O58" i="1"/>
  <c r="P58" i="1"/>
  <c r="Q58" i="1"/>
  <c r="D59" i="1"/>
  <c r="E59" i="1"/>
  <c r="K59" i="1"/>
  <c r="L59" i="1"/>
  <c r="M59" i="1"/>
  <c r="N59" i="1"/>
  <c r="O59" i="1"/>
  <c r="P59" i="1"/>
  <c r="Q59" i="1"/>
  <c r="H60" i="1"/>
  <c r="I60" i="1"/>
  <c r="J60" i="1"/>
  <c r="K60" i="1"/>
  <c r="L60" i="1"/>
  <c r="M60" i="1"/>
  <c r="N60" i="1"/>
  <c r="O60" i="1"/>
  <c r="E61" i="1"/>
  <c r="F61" i="1"/>
  <c r="G61" i="1"/>
  <c r="I61" i="1"/>
  <c r="J61" i="1"/>
  <c r="K61" i="1"/>
  <c r="L61" i="1"/>
  <c r="M61" i="1"/>
  <c r="Q61" i="1"/>
  <c r="D62" i="1"/>
  <c r="E62" i="1"/>
  <c r="F62" i="1"/>
  <c r="G62" i="1"/>
  <c r="H62" i="1"/>
  <c r="I62" i="1"/>
  <c r="J62" i="1"/>
  <c r="K62" i="1"/>
  <c r="N62" i="1"/>
  <c r="O62" i="1"/>
  <c r="P62" i="1"/>
  <c r="Q62" i="1"/>
  <c r="G64" i="1"/>
  <c r="H64" i="1"/>
  <c r="C50" i="1"/>
  <c r="C51" i="1"/>
  <c r="C58" i="1"/>
  <c r="C59" i="1"/>
  <c r="C62" i="1"/>
  <c r="C63" i="1"/>
  <c r="C32" i="1"/>
  <c r="D32" i="1"/>
  <c r="E32" i="1"/>
  <c r="F32" i="1"/>
  <c r="G32" i="1"/>
  <c r="H32" i="1"/>
  <c r="I32" i="1"/>
  <c r="J32" i="1"/>
  <c r="K32" i="1"/>
  <c r="L32" i="1"/>
  <c r="L50" i="1" s="1"/>
  <c r="M32" i="1"/>
  <c r="M50" i="1" s="1"/>
  <c r="N32" i="1"/>
  <c r="O32" i="1"/>
  <c r="O50" i="1" s="1"/>
  <c r="P32" i="1"/>
  <c r="Q32" i="1"/>
  <c r="C33" i="1"/>
  <c r="D33" i="1"/>
  <c r="D51" i="1" s="1"/>
  <c r="E33" i="1"/>
  <c r="E51" i="1" s="1"/>
  <c r="F33" i="1"/>
  <c r="F51" i="1" s="1"/>
  <c r="G33" i="1"/>
  <c r="G51" i="1" s="1"/>
  <c r="H33" i="1"/>
  <c r="H51" i="1" s="1"/>
  <c r="I33" i="1"/>
  <c r="I51" i="1" s="1"/>
  <c r="J33" i="1"/>
  <c r="J51" i="1" s="1"/>
  <c r="K33" i="1"/>
  <c r="K51" i="1" s="1"/>
  <c r="L33" i="1"/>
  <c r="L51" i="1" s="1"/>
  <c r="M33" i="1"/>
  <c r="M51" i="1" s="1"/>
  <c r="N33" i="1"/>
  <c r="N51" i="1" s="1"/>
  <c r="O33" i="1"/>
  <c r="P33" i="1"/>
  <c r="P51" i="1" s="1"/>
  <c r="Q33" i="1"/>
  <c r="Q51" i="1" s="1"/>
  <c r="C34" i="1"/>
  <c r="C52" i="1" s="1"/>
  <c r="D34" i="1"/>
  <c r="D52" i="1" s="1"/>
  <c r="E34" i="1"/>
  <c r="E52" i="1" s="1"/>
  <c r="F34" i="1"/>
  <c r="F52" i="1" s="1"/>
  <c r="G34" i="1"/>
  <c r="H34" i="1"/>
  <c r="I34" i="1"/>
  <c r="I52" i="1" s="1"/>
  <c r="J34" i="1"/>
  <c r="J52" i="1" s="1"/>
  <c r="K34" i="1"/>
  <c r="K52" i="1" s="1"/>
  <c r="L34" i="1"/>
  <c r="L52" i="1" s="1"/>
  <c r="M34" i="1"/>
  <c r="M52" i="1" s="1"/>
  <c r="N34" i="1"/>
  <c r="N52" i="1" s="1"/>
  <c r="O34" i="1"/>
  <c r="O52" i="1" s="1"/>
  <c r="P34" i="1"/>
  <c r="P52" i="1" s="1"/>
  <c r="Q34" i="1"/>
  <c r="Q52" i="1" s="1"/>
  <c r="C35" i="1"/>
  <c r="C53" i="1" s="1"/>
  <c r="D35" i="1"/>
  <c r="E35" i="1"/>
  <c r="F35" i="1"/>
  <c r="G35" i="1"/>
  <c r="G53" i="1" s="1"/>
  <c r="H35" i="1"/>
  <c r="H53" i="1" s="1"/>
  <c r="I35" i="1"/>
  <c r="I53" i="1" s="1"/>
  <c r="J35" i="1"/>
  <c r="J53" i="1" s="1"/>
  <c r="K35" i="1"/>
  <c r="K53" i="1" s="1"/>
  <c r="L35" i="1"/>
  <c r="L53" i="1" s="1"/>
  <c r="M35" i="1"/>
  <c r="M53" i="1" s="1"/>
  <c r="N35" i="1"/>
  <c r="N53" i="1" s="1"/>
  <c r="O35" i="1"/>
  <c r="O53" i="1" s="1"/>
  <c r="P35" i="1"/>
  <c r="Q35" i="1"/>
  <c r="C36" i="1"/>
  <c r="C54" i="1" s="1"/>
  <c r="D36" i="1"/>
  <c r="D54" i="1" s="1"/>
  <c r="E36" i="1"/>
  <c r="E54" i="1" s="1"/>
  <c r="F36" i="1"/>
  <c r="F54" i="1" s="1"/>
  <c r="G36" i="1"/>
  <c r="G54" i="1" s="1"/>
  <c r="H36" i="1"/>
  <c r="H54" i="1" s="1"/>
  <c r="I36" i="1"/>
  <c r="I54" i="1" s="1"/>
  <c r="J36" i="1"/>
  <c r="J54" i="1" s="1"/>
  <c r="K36" i="1"/>
  <c r="K54" i="1" s="1"/>
  <c r="L36" i="1"/>
  <c r="L54" i="1" s="1"/>
  <c r="M36" i="1"/>
  <c r="N36" i="1"/>
  <c r="O36" i="1"/>
  <c r="P36" i="1"/>
  <c r="P54" i="1" s="1"/>
  <c r="Q36" i="1"/>
  <c r="Q54" i="1" s="1"/>
  <c r="C37" i="1"/>
  <c r="C55" i="1" s="1"/>
  <c r="D37" i="1"/>
  <c r="D55" i="1" s="1"/>
  <c r="E37" i="1"/>
  <c r="E55" i="1" s="1"/>
  <c r="F37" i="1"/>
  <c r="F55" i="1" s="1"/>
  <c r="G37" i="1"/>
  <c r="G55" i="1" s="1"/>
  <c r="H37" i="1"/>
  <c r="H55" i="1" s="1"/>
  <c r="I37" i="1"/>
  <c r="I55" i="1" s="1"/>
  <c r="J37" i="1"/>
  <c r="K37" i="1"/>
  <c r="L37" i="1"/>
  <c r="M37" i="1"/>
  <c r="N37" i="1"/>
  <c r="N55" i="1" s="1"/>
  <c r="O37" i="1"/>
  <c r="O55" i="1" s="1"/>
  <c r="P37" i="1"/>
  <c r="P55" i="1" s="1"/>
  <c r="Q37" i="1"/>
  <c r="Q55" i="1" s="1"/>
  <c r="C38" i="1"/>
  <c r="C56" i="1" s="1"/>
  <c r="D38" i="1"/>
  <c r="D56" i="1" s="1"/>
  <c r="E38" i="1"/>
  <c r="E56" i="1" s="1"/>
  <c r="F38" i="1"/>
  <c r="F56" i="1" s="1"/>
  <c r="G38" i="1"/>
  <c r="H38" i="1"/>
  <c r="I38" i="1"/>
  <c r="J38" i="1"/>
  <c r="K38" i="1"/>
  <c r="L38" i="1"/>
  <c r="L56" i="1" s="1"/>
  <c r="M38" i="1"/>
  <c r="M56" i="1" s="1"/>
  <c r="N38" i="1"/>
  <c r="N56" i="1" s="1"/>
  <c r="O38" i="1"/>
  <c r="O56" i="1" s="1"/>
  <c r="P38" i="1"/>
  <c r="P56" i="1" s="1"/>
  <c r="Q38" i="1"/>
  <c r="Q56" i="1" s="1"/>
  <c r="C39" i="1"/>
  <c r="C57" i="1" s="1"/>
  <c r="D39" i="1"/>
  <c r="E39" i="1"/>
  <c r="F39" i="1"/>
  <c r="G39" i="1"/>
  <c r="H39" i="1"/>
  <c r="I39" i="1"/>
  <c r="J39" i="1"/>
  <c r="J57" i="1" s="1"/>
  <c r="K39" i="1"/>
  <c r="K57" i="1" s="1"/>
  <c r="L39" i="1"/>
  <c r="L57" i="1" s="1"/>
  <c r="M39" i="1"/>
  <c r="M57" i="1" s="1"/>
  <c r="N39" i="1"/>
  <c r="N57" i="1" s="1"/>
  <c r="O39" i="1"/>
  <c r="O57" i="1" s="1"/>
  <c r="P39" i="1"/>
  <c r="Q39" i="1"/>
  <c r="C40" i="1"/>
  <c r="D40" i="1"/>
  <c r="E40" i="1"/>
  <c r="F40" i="1"/>
  <c r="G40" i="1"/>
  <c r="H40" i="1"/>
  <c r="H58" i="1" s="1"/>
  <c r="I40" i="1"/>
  <c r="I58" i="1" s="1"/>
  <c r="J40" i="1"/>
  <c r="J58" i="1" s="1"/>
  <c r="K40" i="1"/>
  <c r="K58" i="1" s="1"/>
  <c r="L40" i="1"/>
  <c r="L58" i="1" s="1"/>
  <c r="M40" i="1"/>
  <c r="N40" i="1"/>
  <c r="O40" i="1"/>
  <c r="P40" i="1"/>
  <c r="Q40" i="1"/>
  <c r="C41" i="1"/>
  <c r="D41" i="1"/>
  <c r="E41" i="1"/>
  <c r="F41" i="1"/>
  <c r="F59" i="1" s="1"/>
  <c r="G41" i="1"/>
  <c r="G59" i="1" s="1"/>
  <c r="H41" i="1"/>
  <c r="H59" i="1" s="1"/>
  <c r="I41" i="1"/>
  <c r="I59" i="1" s="1"/>
  <c r="J41" i="1"/>
  <c r="J59" i="1" s="1"/>
  <c r="K41" i="1"/>
  <c r="L41" i="1"/>
  <c r="M41" i="1"/>
  <c r="N41" i="1"/>
  <c r="O41" i="1"/>
  <c r="P41" i="1"/>
  <c r="Q41" i="1"/>
  <c r="C42" i="1"/>
  <c r="C60" i="1" s="1"/>
  <c r="D42" i="1"/>
  <c r="D60" i="1" s="1"/>
  <c r="E42" i="1"/>
  <c r="E60" i="1" s="1"/>
  <c r="F42" i="1"/>
  <c r="F60" i="1" s="1"/>
  <c r="G42" i="1"/>
  <c r="G60" i="1" s="1"/>
  <c r="H42" i="1"/>
  <c r="I42" i="1"/>
  <c r="J42" i="1"/>
  <c r="K42" i="1"/>
  <c r="L42" i="1"/>
  <c r="M42" i="1"/>
  <c r="N42" i="1"/>
  <c r="O42" i="1"/>
  <c r="P42" i="1"/>
  <c r="P60" i="1" s="1"/>
  <c r="Q42" i="1"/>
  <c r="Q60" i="1" s="1"/>
  <c r="C43" i="1"/>
  <c r="C61" i="1" s="1"/>
  <c r="D43" i="1"/>
  <c r="D61" i="1" s="1"/>
  <c r="E43" i="1"/>
  <c r="F43" i="1"/>
  <c r="G43" i="1"/>
  <c r="H43" i="1"/>
  <c r="I43" i="1"/>
  <c r="J43" i="1"/>
  <c r="K43" i="1"/>
  <c r="L43" i="1"/>
  <c r="M43" i="1"/>
  <c r="N43" i="1"/>
  <c r="N61" i="1" s="1"/>
  <c r="O43" i="1"/>
  <c r="O61" i="1" s="1"/>
  <c r="P43" i="1"/>
  <c r="P61" i="1" s="1"/>
  <c r="Q43" i="1"/>
  <c r="C44" i="1"/>
  <c r="D44" i="1"/>
  <c r="E44" i="1"/>
  <c r="F44" i="1"/>
  <c r="G44" i="1"/>
  <c r="H44" i="1"/>
  <c r="I44" i="1"/>
  <c r="J44" i="1"/>
  <c r="K44" i="1"/>
  <c r="L44" i="1"/>
  <c r="L62" i="1" s="1"/>
  <c r="M44" i="1"/>
  <c r="M62" i="1" s="1"/>
  <c r="N44" i="1"/>
  <c r="O44" i="1"/>
  <c r="P44" i="1"/>
  <c r="Q44" i="1"/>
  <c r="C45" i="1"/>
  <c r="D45" i="1"/>
  <c r="D63" i="1" s="1"/>
  <c r="E45" i="1"/>
  <c r="E63" i="1" s="1"/>
  <c r="F45" i="1"/>
  <c r="F63" i="1" s="1"/>
  <c r="G45" i="1"/>
  <c r="G63" i="1" s="1"/>
  <c r="H45" i="1"/>
  <c r="H63" i="1" s="1"/>
  <c r="I45" i="1"/>
  <c r="I63" i="1" s="1"/>
  <c r="J45" i="1"/>
  <c r="J63" i="1" s="1"/>
  <c r="K45" i="1"/>
  <c r="K63" i="1" s="1"/>
  <c r="L45" i="1"/>
  <c r="L63" i="1" s="1"/>
  <c r="M45" i="1"/>
  <c r="M63" i="1" s="1"/>
  <c r="N45" i="1"/>
  <c r="N63" i="1" s="1"/>
  <c r="O45" i="1"/>
  <c r="O63" i="1" s="1"/>
  <c r="P45" i="1"/>
  <c r="P63" i="1" s="1"/>
  <c r="Q45" i="1"/>
  <c r="Q63" i="1" s="1"/>
  <c r="C46" i="1"/>
  <c r="C64" i="1" s="1"/>
  <c r="D46" i="1"/>
  <c r="D64" i="1" s="1"/>
  <c r="E46" i="1"/>
  <c r="E64" i="1" s="1"/>
  <c r="F46" i="1"/>
  <c r="F64" i="1" s="1"/>
  <c r="G46" i="1"/>
  <c r="H46" i="1"/>
  <c r="I46" i="1"/>
  <c r="I64" i="1" s="1"/>
  <c r="J46" i="1"/>
  <c r="J64" i="1" s="1"/>
  <c r="K46" i="1"/>
  <c r="K64" i="1" s="1"/>
  <c r="L46" i="1"/>
  <c r="L64" i="1" s="1"/>
  <c r="M46" i="1"/>
  <c r="M64" i="1" s="1"/>
  <c r="N46" i="1"/>
  <c r="N64" i="1" s="1"/>
  <c r="O46" i="1"/>
  <c r="O64" i="1" s="1"/>
  <c r="P46" i="1"/>
  <c r="P64" i="1" s="1"/>
  <c r="Q46" i="1"/>
  <c r="Q64" i="1" s="1"/>
  <c r="D31" i="1"/>
  <c r="D49" i="1" s="1"/>
  <c r="E31" i="1"/>
  <c r="E49" i="1" s="1"/>
  <c r="F31" i="1"/>
  <c r="G31" i="1"/>
  <c r="H31" i="1"/>
  <c r="I31" i="1"/>
  <c r="J31" i="1"/>
  <c r="K31" i="1"/>
  <c r="L31" i="1"/>
  <c r="M31" i="1"/>
  <c r="N31" i="1"/>
  <c r="N49" i="1" s="1"/>
  <c r="O31" i="1"/>
  <c r="O49" i="1" s="1"/>
  <c r="P31" i="1"/>
  <c r="P49" i="1" s="1"/>
  <c r="Q31" i="1"/>
  <c r="Q49" i="1" s="1"/>
  <c r="C31" i="1"/>
  <c r="C49" i="1" s="1"/>
  <c r="K4" i="1"/>
  <c r="K5" i="1"/>
  <c r="K6" i="1"/>
  <c r="K7" i="1"/>
  <c r="K8" i="1"/>
  <c r="K9" i="1"/>
  <c r="K10" i="1"/>
  <c r="K3" i="1"/>
  <c r="I4" i="1"/>
  <c r="I5" i="1"/>
  <c r="I6" i="1"/>
  <c r="I7" i="1"/>
  <c r="I8" i="1"/>
  <c r="I9" i="1"/>
  <c r="I10" i="1"/>
  <c r="I3" i="1"/>
  <c r="M49" i="2" l="1"/>
  <c r="D52" i="2"/>
  <c r="P52" i="2"/>
  <c r="T71" i="2"/>
  <c r="V71" i="2" s="1"/>
  <c r="T79" i="2"/>
  <c r="J58" i="2"/>
  <c r="D64" i="2"/>
  <c r="H51" i="2"/>
  <c r="Q64" i="2"/>
  <c r="F49" i="2"/>
  <c r="O50" i="2"/>
  <c r="L51" i="2"/>
  <c r="L59" i="2"/>
  <c r="C62" i="2"/>
  <c r="O62" i="2"/>
  <c r="I64" i="2"/>
  <c r="G49" i="2"/>
  <c r="P50" i="2"/>
  <c r="M51" i="2"/>
  <c r="P62" i="2"/>
  <c r="J64" i="2"/>
  <c r="G51" i="2"/>
  <c r="G59" i="2"/>
  <c r="P64" i="2"/>
  <c r="K58" i="2"/>
  <c r="H49" i="2"/>
  <c r="Q50" i="2"/>
  <c r="N51" i="2"/>
  <c r="J49" i="2"/>
  <c r="P51" i="2"/>
  <c r="Q54" i="2"/>
  <c r="P54" i="2"/>
  <c r="B54" i="2"/>
  <c r="O54" i="2"/>
  <c r="P55" i="2"/>
  <c r="C55" i="2"/>
  <c r="D55" i="2"/>
  <c r="B55" i="2"/>
  <c r="J53" i="2"/>
  <c r="F53" i="2"/>
  <c r="C54" i="2"/>
  <c r="L55" i="2"/>
  <c r="I56" i="2"/>
  <c r="K63" i="2"/>
  <c r="O63" i="2"/>
  <c r="B63" i="2"/>
  <c r="N63" i="2"/>
  <c r="M63" i="2"/>
  <c r="L63" i="2"/>
  <c r="G53" i="2"/>
  <c r="D54" i="2"/>
  <c r="M55" i="2"/>
  <c r="B62" i="2"/>
  <c r="F62" i="2"/>
  <c r="E62" i="2"/>
  <c r="H53" i="2"/>
  <c r="E54" i="2"/>
  <c r="Q62" i="2"/>
  <c r="D62" i="2"/>
  <c r="M60" i="2"/>
  <c r="B60" i="2"/>
  <c r="I57" i="2"/>
  <c r="J57" i="2"/>
  <c r="G62" i="2"/>
  <c r="D63" i="2"/>
  <c r="P63" i="2"/>
  <c r="G58" i="2"/>
  <c r="D50" i="2"/>
  <c r="B50" i="2"/>
  <c r="C50" i="2"/>
  <c r="G50" i="2"/>
  <c r="F50" i="2"/>
  <c r="E50" i="2"/>
  <c r="J50" i="2"/>
  <c r="M53" i="2"/>
  <c r="J54" i="2"/>
  <c r="G55" i="2"/>
  <c r="D56" i="2"/>
  <c r="P56" i="2"/>
  <c r="M57" i="2"/>
  <c r="D60" i="2"/>
  <c r="P60" i="2"/>
  <c r="M61" i="2"/>
  <c r="J62" i="2"/>
  <c r="G63" i="2"/>
  <c r="L52" i="2"/>
  <c r="B52" i="2"/>
  <c r="M52" i="2"/>
  <c r="J52" i="2"/>
  <c r="N49" i="2"/>
  <c r="K50" i="2"/>
  <c r="Q52" i="2"/>
  <c r="N53" i="2"/>
  <c r="K54" i="2"/>
  <c r="H55" i="2"/>
  <c r="E56" i="2"/>
  <c r="N57" i="2"/>
  <c r="D51" i="2"/>
  <c r="B57" i="2"/>
  <c r="E52" i="2"/>
  <c r="Q56" i="2"/>
  <c r="I52" i="2"/>
  <c r="K49" i="2"/>
  <c r="H50" i="2"/>
  <c r="E51" i="2"/>
  <c r="Q51" i="2"/>
  <c r="H62" i="2"/>
  <c r="E63" i="2"/>
  <c r="Q63" i="2"/>
  <c r="P59" i="2"/>
  <c r="L49" i="2"/>
  <c r="I50" i="2"/>
  <c r="F51" i="2"/>
  <c r="I62" i="2"/>
  <c r="F63" i="2"/>
  <c r="E49" i="2"/>
  <c r="Q49" i="2"/>
  <c r="N50" i="2"/>
  <c r="K51" i="2"/>
  <c r="H52" i="2"/>
  <c r="E53" i="2"/>
  <c r="Q53" i="2"/>
  <c r="N54" i="2"/>
  <c r="K55" i="2"/>
  <c r="H56" i="2"/>
  <c r="E57" i="2"/>
  <c r="Q57" i="2"/>
  <c r="N62" i="2"/>
  <c r="H64" i="2"/>
  <c r="K64" i="2"/>
  <c r="I49" i="2"/>
  <c r="C51" i="2"/>
  <c r="O51" i="2"/>
  <c r="I53" i="2"/>
  <c r="C63" i="2"/>
  <c r="L64" i="2"/>
  <c r="H59" i="2"/>
  <c r="E60" i="2"/>
  <c r="Q60" i="2"/>
  <c r="K62" i="2"/>
  <c r="E64" i="2"/>
  <c r="C49" i="2"/>
  <c r="O49" i="2"/>
  <c r="L50" i="2"/>
  <c r="I51" i="2"/>
  <c r="F52" i="2"/>
  <c r="C53" i="2"/>
  <c r="O53" i="2"/>
  <c r="L54" i="2"/>
  <c r="I55" i="2"/>
  <c r="F56" i="2"/>
  <c r="C57" i="2"/>
  <c r="O57" i="2"/>
  <c r="L58" i="2"/>
  <c r="I59" i="2"/>
  <c r="L62" i="2"/>
  <c r="I63" i="2"/>
  <c r="F64" i="2"/>
  <c r="H63" i="2"/>
  <c r="D49" i="2"/>
  <c r="P49" i="2"/>
  <c r="M50" i="2"/>
  <c r="J51" i="2"/>
  <c r="G52" i="2"/>
  <c r="D53" i="2"/>
  <c r="P53" i="2"/>
  <c r="M54" i="2"/>
  <c r="J55" i="2"/>
  <c r="G56" i="2"/>
  <c r="D57" i="2"/>
  <c r="P57" i="2"/>
  <c r="M58" i="2"/>
  <c r="M62" i="2"/>
  <c r="J63" i="2"/>
  <c r="G64" i="2"/>
  <c r="N61" i="2"/>
  <c r="F60" i="2"/>
  <c r="C61" i="2"/>
  <c r="O61" i="2"/>
  <c r="J59" i="2"/>
  <c r="G60" i="2"/>
  <c r="D61" i="2"/>
  <c r="P61" i="2"/>
  <c r="M59" i="2"/>
  <c r="N58" i="2"/>
  <c r="K59" i="2"/>
  <c r="H60" i="2"/>
  <c r="E61" i="2"/>
  <c r="Q61" i="2"/>
  <c r="N59" i="2"/>
  <c r="C58" i="2"/>
  <c r="O58" i="2"/>
  <c r="I60" i="2"/>
  <c r="F61" i="2"/>
  <c r="O59" i="2"/>
  <c r="J56" i="2"/>
  <c r="D58" i="2"/>
  <c r="P58" i="2"/>
  <c r="J60" i="2"/>
  <c r="G61" i="2"/>
  <c r="K56" i="2"/>
  <c r="E58" i="2"/>
  <c r="Q58" i="2"/>
  <c r="K60" i="2"/>
  <c r="H61" i="2"/>
  <c r="F54" i="2"/>
  <c r="L56" i="2"/>
  <c r="F58" i="2"/>
  <c r="C59" i="2"/>
  <c r="L60" i="2"/>
  <c r="I61" i="2"/>
  <c r="F57" i="2"/>
  <c r="G54" i="2"/>
  <c r="M56" i="2"/>
  <c r="D59" i="2"/>
  <c r="J61" i="2"/>
  <c r="M64" i="2"/>
  <c r="G57" i="2"/>
  <c r="N52" i="2"/>
  <c r="K53" i="2"/>
  <c r="H54" i="2"/>
  <c r="E55" i="2"/>
  <c r="Q55" i="2"/>
  <c r="N56" i="2"/>
  <c r="K57" i="2"/>
  <c r="H58" i="2"/>
  <c r="E59" i="2"/>
  <c r="Q59" i="2"/>
  <c r="N60" i="2"/>
  <c r="K61" i="2"/>
  <c r="N64" i="2"/>
  <c r="K52" i="2"/>
  <c r="H57" i="2"/>
  <c r="N55" i="2"/>
  <c r="O55" i="2"/>
  <c r="C52" i="2"/>
  <c r="O52" i="2"/>
  <c r="L53" i="2"/>
  <c r="I54" i="2"/>
  <c r="F55" i="2"/>
  <c r="C56" i="2"/>
  <c r="O56" i="2"/>
  <c r="L57" i="2"/>
  <c r="I58" i="2"/>
  <c r="F59" i="2"/>
  <c r="C60" i="2"/>
  <c r="O60" i="2"/>
  <c r="L61" i="2"/>
  <c r="C64" i="2"/>
  <c r="O64" i="2"/>
  <c r="H69" i="1"/>
  <c r="H78" i="1" s="1"/>
  <c r="T70" i="1"/>
  <c r="T72" i="1" s="1"/>
  <c r="T77" i="2" l="1"/>
  <c r="V77" i="2" s="1"/>
  <c r="Q67" i="2"/>
  <c r="F67" i="2"/>
  <c r="K67" i="2"/>
  <c r="J67" i="2"/>
  <c r="E67" i="2"/>
  <c r="P67" i="2"/>
  <c r="N67" i="2"/>
  <c r="M67" i="2"/>
  <c r="L67" i="2"/>
  <c r="G67" i="2"/>
  <c r="D67" i="2"/>
  <c r="O67" i="2"/>
  <c r="C67" i="2"/>
  <c r="I67" i="2"/>
  <c r="H67" i="2"/>
  <c r="K74" i="1"/>
  <c r="K76" i="1" s="1"/>
  <c r="K77" i="1" s="1"/>
  <c r="M74" i="1"/>
  <c r="M76" i="1" s="1"/>
  <c r="M77" i="1" s="1"/>
  <c r="O74" i="1"/>
  <c r="O76" i="1" s="1"/>
  <c r="O77" i="1" s="1"/>
  <c r="D74" i="1"/>
  <c r="D76" i="1" s="1"/>
  <c r="D77" i="1" s="1"/>
  <c r="P74" i="1"/>
  <c r="P76" i="1" s="1"/>
  <c r="P77" i="1" s="1"/>
  <c r="Q74" i="1"/>
  <c r="Q76" i="1" s="1"/>
  <c r="Q77" i="1" s="1"/>
  <c r="C74" i="1"/>
  <c r="C76" i="1" s="1"/>
  <c r="C77" i="1" s="1"/>
  <c r="I74" i="1"/>
  <c r="I76" i="1" s="1"/>
  <c r="I77" i="1" s="1"/>
  <c r="L74" i="1"/>
  <c r="L76" i="1" s="1"/>
  <c r="L77" i="1" s="1"/>
  <c r="N74" i="1"/>
  <c r="N76" i="1" s="1"/>
  <c r="N77" i="1" s="1"/>
  <c r="E74" i="1"/>
  <c r="E76" i="1" s="1"/>
  <c r="E77" i="1" s="1"/>
  <c r="J74" i="1"/>
  <c r="J76" i="1" s="1"/>
  <c r="J77" i="1" s="1"/>
  <c r="F74" i="1"/>
  <c r="F76" i="1" s="1"/>
  <c r="F77" i="1" s="1"/>
  <c r="G74" i="1"/>
  <c r="G76" i="1" s="1"/>
  <c r="G77" i="1" s="1"/>
  <c r="H74" i="1"/>
  <c r="H76" i="1" s="1"/>
  <c r="H77" i="1" s="1"/>
  <c r="C69" i="2" l="1"/>
  <c r="C71" i="2"/>
  <c r="O69" i="2"/>
  <c r="O71" i="2"/>
  <c r="O73" i="2" s="1"/>
  <c r="I69" i="2"/>
  <c r="I71" i="2"/>
  <c r="I73" i="2" s="1"/>
  <c r="D69" i="2"/>
  <c r="D71" i="2"/>
  <c r="D73" i="2" s="1"/>
  <c r="G69" i="2"/>
  <c r="G71" i="2"/>
  <c r="G73" i="2" s="1"/>
  <c r="M69" i="2"/>
  <c r="M71" i="2"/>
  <c r="M73" i="2" s="1"/>
  <c r="Q69" i="2"/>
  <c r="Q71" i="2"/>
  <c r="Q73" i="2" s="1"/>
  <c r="K71" i="2"/>
  <c r="K73" i="2" s="1"/>
  <c r="K69" i="2"/>
  <c r="J71" i="2"/>
  <c r="J73" i="2" s="1"/>
  <c r="J69" i="2"/>
  <c r="P69" i="2"/>
  <c r="P71" i="2"/>
  <c r="P73" i="2" s="1"/>
  <c r="E69" i="2"/>
  <c r="E71" i="2"/>
  <c r="E73" i="2" s="1"/>
  <c r="F69" i="2"/>
  <c r="F71" i="2"/>
  <c r="F73" i="2" s="1"/>
  <c r="L69" i="2"/>
  <c r="L71" i="2"/>
  <c r="L73" i="2" s="1"/>
  <c r="H69" i="2"/>
  <c r="H71" i="2"/>
  <c r="H73" i="2" s="1"/>
  <c r="N69" i="2"/>
  <c r="N71" i="2"/>
  <c r="N73" i="2" s="1"/>
  <c r="T80" i="2" l="1"/>
  <c r="C73" i="2"/>
  <c r="F74" i="2" l="1"/>
  <c r="F76" i="2" s="1"/>
  <c r="F77" i="2" s="1"/>
  <c r="X71" i="2"/>
  <c r="X77" i="2"/>
  <c r="L74" i="2"/>
  <c r="L76" i="2" s="1"/>
  <c r="L77" i="2" s="1"/>
  <c r="K74" i="2"/>
  <c r="K76" i="2" s="1"/>
  <c r="K77" i="2" s="1"/>
  <c r="G74" i="2"/>
  <c r="G76" i="2" s="1"/>
  <c r="G77" i="2" s="1"/>
  <c r="E74" i="2"/>
  <c r="E76" i="2" s="1"/>
  <c r="E77" i="2" s="1"/>
  <c r="H74" i="2"/>
  <c r="H76" i="2" s="1"/>
  <c r="H77" i="2" s="1"/>
  <c r="O74" i="2"/>
  <c r="O76" i="2" s="1"/>
  <c r="O77" i="2" s="1"/>
  <c r="N74" i="2"/>
  <c r="N76" i="2" s="1"/>
  <c r="N77" i="2" s="1"/>
  <c r="J74" i="2"/>
  <c r="J76" i="2" s="1"/>
  <c r="J77" i="2" s="1"/>
  <c r="I74" i="2"/>
  <c r="I76" i="2" s="1"/>
  <c r="I77" i="2" s="1"/>
  <c r="C74" i="2"/>
  <c r="C76" i="2" s="1"/>
  <c r="C77" i="2" s="1"/>
  <c r="D74" i="2"/>
  <c r="D76" i="2" s="1"/>
  <c r="D77" i="2" s="1"/>
  <c r="P74" i="2"/>
  <c r="P76" i="2" s="1"/>
  <c r="P77" i="2" s="1"/>
  <c r="M74" i="2"/>
  <c r="M76" i="2" s="1"/>
  <c r="M77" i="2" s="1"/>
  <c r="Q74" i="2"/>
</calcChain>
</file>

<file path=xl/sharedStrings.xml><?xml version="1.0" encoding="utf-8"?>
<sst xmlns="http://schemas.openxmlformats.org/spreadsheetml/2006/main" count="845" uniqueCount="72">
  <si>
    <t>ttt comb</t>
  </si>
  <si>
    <t>a</t>
  </si>
  <si>
    <t>"(1)"</t>
  </si>
  <si>
    <t>b</t>
  </si>
  <si>
    <t>ab</t>
  </si>
  <si>
    <t>c</t>
  </si>
  <si>
    <t>ac</t>
  </si>
  <si>
    <t>bc</t>
  </si>
  <si>
    <t>abc</t>
  </si>
  <si>
    <t>rep</t>
  </si>
  <si>
    <t>d</t>
  </si>
  <si>
    <t>ad</t>
  </si>
  <si>
    <t>bd</t>
  </si>
  <si>
    <t>abd</t>
  </si>
  <si>
    <t>cd</t>
  </si>
  <si>
    <t>acd</t>
  </si>
  <si>
    <t>bcd</t>
  </si>
  <si>
    <t>abcd</t>
  </si>
  <si>
    <t>Run</t>
  </si>
  <si>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</si>
  <si>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</si>
  <si>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</si>
  <si>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</si>
  <si>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</si>
  <si>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</si>
  <si>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</si>
  <si>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</si>
  <si>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</si>
  <si>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</si>
  <si>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</si>
  <si>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</si>
  <si>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</si>
  <si>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</si>
  <si>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</si>
  <si>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-</t>
  </si>
  <si>
    <t>+</t>
  </si>
  <si>
    <t>total ttt</t>
  </si>
  <si>
    <t>contrast</t>
  </si>
  <si>
    <t>(2^(k-1))(n)</t>
  </si>
  <si>
    <t>Effect</t>
  </si>
  <si>
    <t>SS</t>
  </si>
  <si>
    <t>(2^k)(n)</t>
  </si>
  <si>
    <t>sumsquare</t>
  </si>
  <si>
    <t>total^2</t>
  </si>
  <si>
    <t>SST</t>
  </si>
  <si>
    <t>2^4*2</t>
  </si>
  <si>
    <t>SSE</t>
  </si>
  <si>
    <t>DF</t>
  </si>
  <si>
    <t>MSE</t>
  </si>
  <si>
    <t>Fคำนวณ</t>
  </si>
  <si>
    <t>F0.05,(1,16)</t>
  </si>
  <si>
    <t>Hypo</t>
  </si>
  <si>
    <t>แปล</t>
  </si>
  <si>
    <t>ขนาด &gt; 2</t>
  </si>
  <si>
    <t>rep 1</t>
  </si>
  <si>
    <t>block 1</t>
  </si>
  <si>
    <t>block 2</t>
  </si>
  <si>
    <t>rep 2</t>
  </si>
  <si>
    <t>SSRep</t>
  </si>
  <si>
    <t>SQRep1</t>
  </si>
  <si>
    <t>SQRep2</t>
  </si>
  <si>
    <t>SSB</t>
  </si>
  <si>
    <t>SQB1R1</t>
  </si>
  <si>
    <t>SQB2R1</t>
  </si>
  <si>
    <t>SQB1R2</t>
  </si>
  <si>
    <t>SQB2R2</t>
  </si>
  <si>
    <t>MSB</t>
  </si>
  <si>
    <t>DFB</t>
  </si>
  <si>
    <t>DFR</t>
  </si>
  <si>
    <t>MSRep</t>
  </si>
  <si>
    <t>F คำนวณ</t>
  </si>
  <si>
    <t>F0.05,(1,14)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</si>
</sst>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7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charset val="222"/>
      <scheme val="minor"/>
    </font>
    <font>
      <b/>
      <sz val="11"/>
      <color rgb="FFFF0000"/>
      <name val="Arial"/>
      <family val="2"/>
    </font>
    <font>
      <sz val="1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 readingOrder="1"/>
    </xf>
    <xf numFmtId="168" fontId="0" fillId="0" borderId="0" xfId="0" applyNumberFormat="1"/>
    <xf numFmtId="169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8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169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center"/>
    </xf>
    <xf numFmtId="0" fontId="5" fillId="0" borderId="1" xfId="0" applyFont="1" applyBorder="1" applyAlignment="1">
      <alignment vertical="center" wrapText="1" readingOrder="1"/>
    </xf>
    <xf numFmtId="0" fontId="1" fillId="0" borderId="0" xfId="0" applyFont="1"/>
    <xf numFmtId="16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6E06-002C-4C2F-8171-20D2C5F4C3DF}">
  <dimension ref="A1:T80"/>
  <sheetViews>
    <sheetView topLeftCell="A61" zoomScale="80" workbookViewId="0">
      <selection activeCell="B76" sqref="B76:Q77"/>
    </sheetView>
  </sheetViews>
  <sheetFormatPr defaultRowHeight="16.5" x14ac:dyDescent="0.45"/>
  <cols>
    <col min="2" max="2" width="10.9140625" bestFit="1" customWidth="1"/>
    <col min="19" max="19" width="10" bestFit="1" customWidth="1"/>
  </cols>
  <sheetData>
    <row r="1" spans="1:17" x14ac:dyDescent="0.45">
      <c r="A1" s="6" t="s">
        <v>0</v>
      </c>
      <c r="B1" s="6" t="s">
        <v>9</v>
      </c>
      <c r="C1" s="7"/>
      <c r="D1" s="2" t="s">
        <v>0</v>
      </c>
      <c r="E1" s="2" t="s">
        <v>9</v>
      </c>
      <c r="F1" s="2"/>
    </row>
    <row r="2" spans="1:17" x14ac:dyDescent="0.45">
      <c r="A2" s="6"/>
      <c r="B2" s="8">
        <v>1</v>
      </c>
      <c r="C2" s="9">
        <v>2</v>
      </c>
      <c r="D2" s="2"/>
      <c r="E2" s="3">
        <v>1</v>
      </c>
      <c r="F2" s="3">
        <v>2</v>
      </c>
      <c r="I2" t="s">
        <v>36</v>
      </c>
      <c r="K2" t="s">
        <v>36</v>
      </c>
    </row>
    <row r="3" spans="1:17" x14ac:dyDescent="0.45">
      <c r="A3" s="8" t="s">
        <v>2</v>
      </c>
      <c r="B3" s="8">
        <v>90</v>
      </c>
      <c r="C3" s="9">
        <v>93</v>
      </c>
      <c r="D3" s="3" t="s">
        <v>10</v>
      </c>
      <c r="E3" s="3">
        <v>98</v>
      </c>
      <c r="F3" s="3">
        <v>95</v>
      </c>
      <c r="H3" s="8" t="s">
        <v>2</v>
      </c>
      <c r="I3">
        <f>SUM(B3:C3)</f>
        <v>183</v>
      </c>
      <c r="J3" s="3" t="s">
        <v>10</v>
      </c>
      <c r="K3">
        <f>SUM(E3:F3)</f>
        <v>193</v>
      </c>
    </row>
    <row r="4" spans="1:17" x14ac:dyDescent="0.45">
      <c r="A4" s="8" t="s">
        <v>1</v>
      </c>
      <c r="B4" s="8">
        <v>74</v>
      </c>
      <c r="C4" s="9">
        <v>78</v>
      </c>
      <c r="D4" s="3" t="s">
        <v>11</v>
      </c>
      <c r="E4" s="3">
        <v>72</v>
      </c>
      <c r="F4" s="3">
        <v>76</v>
      </c>
      <c r="H4" s="8" t="s">
        <v>1</v>
      </c>
      <c r="I4">
        <f t="shared" ref="I4:I10" si="0">SUM(B4:C4)</f>
        <v>152</v>
      </c>
      <c r="J4" s="3" t="s">
        <v>11</v>
      </c>
      <c r="K4">
        <f t="shared" ref="K4:K10" si="1">SUM(E4:F4)</f>
        <v>148</v>
      </c>
    </row>
    <row r="5" spans="1:17" x14ac:dyDescent="0.45">
      <c r="A5" s="8" t="s">
        <v>3</v>
      </c>
      <c r="B5" s="8">
        <v>81</v>
      </c>
      <c r="C5" s="9">
        <v>85</v>
      </c>
      <c r="D5" s="3" t="s">
        <v>12</v>
      </c>
      <c r="E5" s="3">
        <v>87</v>
      </c>
      <c r="F5" s="3">
        <v>83</v>
      </c>
      <c r="H5" s="8" t="s">
        <v>3</v>
      </c>
      <c r="I5">
        <f t="shared" si="0"/>
        <v>166</v>
      </c>
      <c r="J5" s="3" t="s">
        <v>12</v>
      </c>
      <c r="K5">
        <f t="shared" si="1"/>
        <v>170</v>
      </c>
    </row>
    <row r="6" spans="1:17" x14ac:dyDescent="0.45">
      <c r="A6" s="8" t="s">
        <v>4</v>
      </c>
      <c r="B6" s="8">
        <v>83</v>
      </c>
      <c r="C6" s="9">
        <v>80</v>
      </c>
      <c r="D6" s="3" t="s">
        <v>13</v>
      </c>
      <c r="E6" s="3">
        <v>85</v>
      </c>
      <c r="F6" s="3">
        <v>86</v>
      </c>
      <c r="H6" s="8" t="s">
        <v>4</v>
      </c>
      <c r="I6">
        <f t="shared" si="0"/>
        <v>163</v>
      </c>
      <c r="J6" s="3" t="s">
        <v>13</v>
      </c>
      <c r="K6">
        <f t="shared" si="1"/>
        <v>171</v>
      </c>
    </row>
    <row r="7" spans="1:17" x14ac:dyDescent="0.45">
      <c r="A7" s="8" t="s">
        <v>5</v>
      </c>
      <c r="B7" s="8">
        <v>77</v>
      </c>
      <c r="C7" s="9">
        <v>78</v>
      </c>
      <c r="D7" s="3" t="s">
        <v>14</v>
      </c>
      <c r="E7" s="3">
        <v>99</v>
      </c>
      <c r="F7" s="3">
        <v>90</v>
      </c>
      <c r="H7" s="8" t="s">
        <v>5</v>
      </c>
      <c r="I7">
        <f t="shared" si="0"/>
        <v>155</v>
      </c>
      <c r="J7" s="3" t="s">
        <v>14</v>
      </c>
      <c r="K7">
        <f t="shared" si="1"/>
        <v>189</v>
      </c>
    </row>
    <row r="8" spans="1:17" x14ac:dyDescent="0.45">
      <c r="A8" s="8" t="s">
        <v>6</v>
      </c>
      <c r="B8" s="8">
        <v>81</v>
      </c>
      <c r="C8" s="9">
        <v>80</v>
      </c>
      <c r="D8" s="3" t="s">
        <v>15</v>
      </c>
      <c r="E8" s="3">
        <v>79</v>
      </c>
      <c r="F8" s="3">
        <v>75</v>
      </c>
      <c r="H8" s="8" t="s">
        <v>6</v>
      </c>
      <c r="I8">
        <f t="shared" si="0"/>
        <v>161</v>
      </c>
      <c r="J8" s="3" t="s">
        <v>15</v>
      </c>
      <c r="K8">
        <f t="shared" si="1"/>
        <v>154</v>
      </c>
    </row>
    <row r="9" spans="1:17" x14ac:dyDescent="0.45">
      <c r="A9" s="8" t="s">
        <v>7</v>
      </c>
      <c r="B9" s="8">
        <v>88</v>
      </c>
      <c r="C9" s="9">
        <v>82</v>
      </c>
      <c r="D9" s="3" t="s">
        <v>16</v>
      </c>
      <c r="E9" s="3">
        <v>87</v>
      </c>
      <c r="F9" s="3">
        <v>84</v>
      </c>
      <c r="H9" s="8" t="s">
        <v>7</v>
      </c>
      <c r="I9">
        <f t="shared" si="0"/>
        <v>170</v>
      </c>
      <c r="J9" s="3" t="s">
        <v>16</v>
      </c>
      <c r="K9">
        <f t="shared" si="1"/>
        <v>171</v>
      </c>
    </row>
    <row r="10" spans="1:17" x14ac:dyDescent="0.45">
      <c r="A10" s="8" t="s">
        <v>8</v>
      </c>
      <c r="B10" s="8">
        <v>73</v>
      </c>
      <c r="C10" s="9">
        <v>70</v>
      </c>
      <c r="D10" s="3" t="s">
        <v>17</v>
      </c>
      <c r="E10" s="3">
        <v>80</v>
      </c>
      <c r="F10" s="3">
        <v>80</v>
      </c>
      <c r="H10" s="8" t="s">
        <v>8</v>
      </c>
      <c r="I10">
        <f t="shared" si="0"/>
        <v>143</v>
      </c>
      <c r="J10" s="3" t="s">
        <v>17</v>
      </c>
      <c r="K10">
        <f t="shared" si="1"/>
        <v>160</v>
      </c>
    </row>
    <row r="11" spans="1:17" ht="17" thickBot="1" x14ac:dyDescent="0.5"/>
    <row r="12" spans="1:17" ht="17" thickBot="1" x14ac:dyDescent="0.5">
      <c r="A12" s="4" t="s">
        <v>18</v>
      </c>
      <c r="B12" s="4" t="s">
        <v>36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4" t="s">
        <v>26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31</v>
      </c>
      <c r="P12" s="4" t="s">
        <v>32</v>
      </c>
      <c r="Q12" s="4" t="s">
        <v>33</v>
      </c>
    </row>
    <row r="13" spans="1:17" ht="17" thickBot="1" x14ac:dyDescent="0.5">
      <c r="A13" s="4">
        <v>1</v>
      </c>
      <c r="B13" s="4">
        <v>183</v>
      </c>
      <c r="C13" s="5" t="s">
        <v>34</v>
      </c>
      <c r="D13" s="5" t="s">
        <v>34</v>
      </c>
      <c r="E13" s="5" t="s">
        <v>34</v>
      </c>
      <c r="F13" s="5" t="s">
        <v>34</v>
      </c>
      <c r="G13" s="5" t="s">
        <v>35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35</v>
      </c>
    </row>
    <row r="14" spans="1:17" ht="17" thickBot="1" x14ac:dyDescent="0.5">
      <c r="A14" s="4" t="s">
        <v>1</v>
      </c>
      <c r="B14" s="4">
        <v>152</v>
      </c>
      <c r="C14" s="5" t="s">
        <v>35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  <c r="P14" s="5" t="s">
        <v>34</v>
      </c>
      <c r="Q14" s="5" t="s">
        <v>34</v>
      </c>
    </row>
    <row r="15" spans="1:17" ht="17" thickBot="1" x14ac:dyDescent="0.5">
      <c r="A15" s="4" t="s">
        <v>3</v>
      </c>
      <c r="B15" s="4">
        <v>166</v>
      </c>
      <c r="C15" s="5" t="s">
        <v>34</v>
      </c>
      <c r="D15" s="5" t="s">
        <v>35</v>
      </c>
      <c r="E15" s="5" t="s">
        <v>34</v>
      </c>
      <c r="F15" s="5" t="s">
        <v>34</v>
      </c>
      <c r="G15" s="5" t="s">
        <v>34</v>
      </c>
      <c r="H15" s="5" t="s">
        <v>35</v>
      </c>
      <c r="I15" s="5" t="s">
        <v>35</v>
      </c>
      <c r="J15" s="5" t="s">
        <v>34</v>
      </c>
      <c r="K15" s="5" t="s">
        <v>34</v>
      </c>
      <c r="L15" s="5" t="s">
        <v>35</v>
      </c>
      <c r="M15" s="5" t="s">
        <v>35</v>
      </c>
      <c r="N15" s="5" t="s">
        <v>35</v>
      </c>
      <c r="O15" s="5" t="s">
        <v>34</v>
      </c>
      <c r="P15" s="5" t="s">
        <v>35</v>
      </c>
      <c r="Q15" s="5" t="s">
        <v>34</v>
      </c>
    </row>
    <row r="16" spans="1:17" ht="17" thickBot="1" x14ac:dyDescent="0.5">
      <c r="A16" s="4" t="s">
        <v>4</v>
      </c>
      <c r="B16" s="4">
        <v>163</v>
      </c>
      <c r="C16" s="5" t="s">
        <v>35</v>
      </c>
      <c r="D16" s="5" t="s">
        <v>35</v>
      </c>
      <c r="E16" s="5" t="s">
        <v>34</v>
      </c>
      <c r="F16" s="5" t="s">
        <v>34</v>
      </c>
      <c r="G16" s="5" t="s">
        <v>35</v>
      </c>
      <c r="H16" s="5" t="s">
        <v>34</v>
      </c>
      <c r="I16" s="5" t="s">
        <v>34</v>
      </c>
      <c r="J16" s="5" t="s">
        <v>34</v>
      </c>
      <c r="K16" s="5" t="s">
        <v>34</v>
      </c>
      <c r="L16" s="5" t="s">
        <v>35</v>
      </c>
      <c r="M16" s="5" t="s">
        <v>34</v>
      </c>
      <c r="N16" s="5" t="s">
        <v>34</v>
      </c>
      <c r="O16" s="5" t="s">
        <v>35</v>
      </c>
      <c r="P16" s="5" t="s">
        <v>35</v>
      </c>
      <c r="Q16" s="5" t="s">
        <v>35</v>
      </c>
    </row>
    <row r="17" spans="1:17" ht="17" thickBot="1" x14ac:dyDescent="0.5">
      <c r="A17" s="4" t="s">
        <v>5</v>
      </c>
      <c r="B17" s="4">
        <v>155</v>
      </c>
      <c r="C17" s="5" t="s">
        <v>34</v>
      </c>
      <c r="D17" s="5" t="s">
        <v>34</v>
      </c>
      <c r="E17" s="5" t="s">
        <v>35</v>
      </c>
      <c r="F17" s="5" t="s">
        <v>34</v>
      </c>
      <c r="G17" s="5" t="s">
        <v>35</v>
      </c>
      <c r="H17" s="5" t="s">
        <v>34</v>
      </c>
      <c r="I17" s="5" t="s">
        <v>35</v>
      </c>
      <c r="J17" s="5" t="s">
        <v>34</v>
      </c>
      <c r="K17" s="5" t="s">
        <v>35</v>
      </c>
      <c r="L17" s="5" t="s">
        <v>34</v>
      </c>
      <c r="M17" s="5" t="s">
        <v>35</v>
      </c>
      <c r="N17" s="5" t="s">
        <v>34</v>
      </c>
      <c r="O17" s="5" t="s">
        <v>35</v>
      </c>
      <c r="P17" s="5" t="s">
        <v>35</v>
      </c>
      <c r="Q17" s="5" t="s">
        <v>34</v>
      </c>
    </row>
    <row r="18" spans="1:17" ht="17" thickBot="1" x14ac:dyDescent="0.5">
      <c r="A18" s="4" t="s">
        <v>6</v>
      </c>
      <c r="B18" s="4">
        <v>161</v>
      </c>
      <c r="C18" s="5" t="s">
        <v>35</v>
      </c>
      <c r="D18" s="5" t="s">
        <v>34</v>
      </c>
      <c r="E18" s="5" t="s">
        <v>35</v>
      </c>
      <c r="F18" s="5" t="s">
        <v>34</v>
      </c>
      <c r="G18" s="5" t="s">
        <v>34</v>
      </c>
      <c r="H18" s="5" t="s">
        <v>35</v>
      </c>
      <c r="I18" s="5" t="s">
        <v>34</v>
      </c>
      <c r="J18" s="5" t="s">
        <v>34</v>
      </c>
      <c r="K18" s="5" t="s">
        <v>35</v>
      </c>
      <c r="L18" s="5" t="s">
        <v>34</v>
      </c>
      <c r="M18" s="5" t="s">
        <v>34</v>
      </c>
      <c r="N18" s="5" t="s">
        <v>35</v>
      </c>
      <c r="O18" s="5" t="s">
        <v>34</v>
      </c>
      <c r="P18" s="5" t="s">
        <v>35</v>
      </c>
      <c r="Q18" s="5" t="s">
        <v>35</v>
      </c>
    </row>
    <row r="19" spans="1:17" ht="17" thickBot="1" x14ac:dyDescent="0.5">
      <c r="A19" s="4" t="s">
        <v>7</v>
      </c>
      <c r="B19" s="4">
        <v>170</v>
      </c>
      <c r="C19" s="5" t="s">
        <v>34</v>
      </c>
      <c r="D19" s="5" t="s">
        <v>35</v>
      </c>
      <c r="E19" s="5" t="s">
        <v>35</v>
      </c>
      <c r="F19" s="5" t="s">
        <v>34</v>
      </c>
      <c r="G19" s="5" t="s">
        <v>34</v>
      </c>
      <c r="H19" s="5" t="s">
        <v>34</v>
      </c>
      <c r="I19" s="5" t="s">
        <v>35</v>
      </c>
      <c r="J19" s="5" t="s">
        <v>35</v>
      </c>
      <c r="K19" s="5" t="s">
        <v>34</v>
      </c>
      <c r="L19" s="5" t="s">
        <v>34</v>
      </c>
      <c r="M19" s="5" t="s">
        <v>34</v>
      </c>
      <c r="N19" s="5" t="s">
        <v>35</v>
      </c>
      <c r="O19" s="5" t="s">
        <v>35</v>
      </c>
      <c r="P19" s="5" t="s">
        <v>34</v>
      </c>
      <c r="Q19" s="5" t="s">
        <v>35</v>
      </c>
    </row>
    <row r="20" spans="1:17" ht="17" thickBot="1" x14ac:dyDescent="0.5">
      <c r="A20" s="4" t="s">
        <v>8</v>
      </c>
      <c r="B20" s="4">
        <v>143</v>
      </c>
      <c r="C20" s="5" t="s">
        <v>35</v>
      </c>
      <c r="D20" s="5" t="s">
        <v>35</v>
      </c>
      <c r="E20" s="5" t="s">
        <v>35</v>
      </c>
      <c r="F20" s="5" t="s">
        <v>34</v>
      </c>
      <c r="G20" s="5" t="s">
        <v>35</v>
      </c>
      <c r="H20" s="5" t="s">
        <v>35</v>
      </c>
      <c r="I20" s="5" t="s">
        <v>34</v>
      </c>
      <c r="J20" s="5" t="s">
        <v>35</v>
      </c>
      <c r="K20" s="5" t="s">
        <v>34</v>
      </c>
      <c r="L20" s="5" t="s">
        <v>34</v>
      </c>
      <c r="M20" s="5" t="s">
        <v>35</v>
      </c>
      <c r="N20" s="5" t="s">
        <v>34</v>
      </c>
      <c r="O20" s="5" t="s">
        <v>34</v>
      </c>
      <c r="P20" s="5" t="s">
        <v>34</v>
      </c>
      <c r="Q20" s="5" t="s">
        <v>34</v>
      </c>
    </row>
    <row r="21" spans="1:17" ht="17" thickBot="1" x14ac:dyDescent="0.5">
      <c r="A21" s="4" t="s">
        <v>10</v>
      </c>
      <c r="B21" s="4">
        <v>193</v>
      </c>
      <c r="C21" s="5" t="s">
        <v>34</v>
      </c>
      <c r="D21" s="5" t="s">
        <v>34</v>
      </c>
      <c r="E21" s="5" t="s">
        <v>34</v>
      </c>
      <c r="F21" s="5" t="s">
        <v>35</v>
      </c>
      <c r="G21" s="5" t="s">
        <v>35</v>
      </c>
      <c r="H21" s="5" t="s">
        <v>35</v>
      </c>
      <c r="I21" s="5" t="s">
        <v>34</v>
      </c>
      <c r="J21" s="5" t="s">
        <v>35</v>
      </c>
      <c r="K21" s="5" t="s">
        <v>34</v>
      </c>
      <c r="L21" s="5" t="s">
        <v>34</v>
      </c>
      <c r="M21" s="5" t="s">
        <v>34</v>
      </c>
      <c r="N21" s="5" t="s">
        <v>35</v>
      </c>
      <c r="O21" s="5" t="s">
        <v>35</v>
      </c>
      <c r="P21" s="5" t="s">
        <v>35</v>
      </c>
      <c r="Q21" s="5" t="s">
        <v>34</v>
      </c>
    </row>
    <row r="22" spans="1:17" ht="17" thickBot="1" x14ac:dyDescent="0.5">
      <c r="A22" s="4" t="s">
        <v>11</v>
      </c>
      <c r="B22" s="4">
        <v>148</v>
      </c>
      <c r="C22" s="5" t="s">
        <v>35</v>
      </c>
      <c r="D22" s="5" t="s">
        <v>34</v>
      </c>
      <c r="E22" s="5" t="s">
        <v>34</v>
      </c>
      <c r="F22" s="5" t="s">
        <v>35</v>
      </c>
      <c r="G22" s="5" t="s">
        <v>34</v>
      </c>
      <c r="H22" s="5" t="s">
        <v>34</v>
      </c>
      <c r="I22" s="5" t="s">
        <v>35</v>
      </c>
      <c r="J22" s="5" t="s">
        <v>35</v>
      </c>
      <c r="K22" s="5" t="s">
        <v>34</v>
      </c>
      <c r="L22" s="5" t="s">
        <v>34</v>
      </c>
      <c r="M22" s="5" t="s">
        <v>35</v>
      </c>
      <c r="N22" s="5" t="s">
        <v>34</v>
      </c>
      <c r="O22" s="5" t="s">
        <v>34</v>
      </c>
      <c r="P22" s="5" t="s">
        <v>35</v>
      </c>
      <c r="Q22" s="5" t="s">
        <v>35</v>
      </c>
    </row>
    <row r="23" spans="1:17" ht="17" thickBot="1" x14ac:dyDescent="0.5">
      <c r="A23" s="4" t="s">
        <v>12</v>
      </c>
      <c r="B23" s="4">
        <v>170</v>
      </c>
      <c r="C23" s="5" t="s">
        <v>34</v>
      </c>
      <c r="D23" s="5" t="s">
        <v>35</v>
      </c>
      <c r="E23" s="5" t="s">
        <v>34</v>
      </c>
      <c r="F23" s="5" t="s">
        <v>35</v>
      </c>
      <c r="G23" s="5" t="s">
        <v>34</v>
      </c>
      <c r="H23" s="5" t="s">
        <v>35</v>
      </c>
      <c r="I23" s="5" t="s">
        <v>34</v>
      </c>
      <c r="J23" s="5" t="s">
        <v>34</v>
      </c>
      <c r="K23" s="5" t="s">
        <v>35</v>
      </c>
      <c r="L23" s="5" t="s">
        <v>34</v>
      </c>
      <c r="M23" s="5" t="s">
        <v>35</v>
      </c>
      <c r="N23" s="5" t="s">
        <v>34</v>
      </c>
      <c r="O23" s="5" t="s">
        <v>35</v>
      </c>
      <c r="P23" s="5" t="s">
        <v>34</v>
      </c>
      <c r="Q23" s="5" t="s">
        <v>35</v>
      </c>
    </row>
    <row r="24" spans="1:17" ht="17" thickBot="1" x14ac:dyDescent="0.5">
      <c r="A24" s="4" t="s">
        <v>13</v>
      </c>
      <c r="B24" s="4">
        <v>171</v>
      </c>
      <c r="C24" s="5" t="s">
        <v>35</v>
      </c>
      <c r="D24" s="5" t="s">
        <v>35</v>
      </c>
      <c r="E24" s="5" t="s">
        <v>34</v>
      </c>
      <c r="F24" s="5" t="s">
        <v>35</v>
      </c>
      <c r="G24" s="5" t="s">
        <v>35</v>
      </c>
      <c r="H24" s="5" t="s">
        <v>34</v>
      </c>
      <c r="I24" s="5" t="s">
        <v>35</v>
      </c>
      <c r="J24" s="5" t="s">
        <v>34</v>
      </c>
      <c r="K24" s="5" t="s">
        <v>35</v>
      </c>
      <c r="L24" s="5" t="s">
        <v>34</v>
      </c>
      <c r="M24" s="5" t="s">
        <v>34</v>
      </c>
      <c r="N24" s="5" t="s">
        <v>35</v>
      </c>
      <c r="O24" s="5" t="s">
        <v>34</v>
      </c>
      <c r="P24" s="5" t="s">
        <v>34</v>
      </c>
      <c r="Q24" s="5" t="s">
        <v>34</v>
      </c>
    </row>
    <row r="25" spans="1:17" ht="17" thickBot="1" x14ac:dyDescent="0.5">
      <c r="A25" s="4" t="s">
        <v>14</v>
      </c>
      <c r="B25" s="4">
        <v>189</v>
      </c>
      <c r="C25" s="5" t="s">
        <v>34</v>
      </c>
      <c r="D25" s="5" t="s">
        <v>34</v>
      </c>
      <c r="E25" s="5" t="s">
        <v>35</v>
      </c>
      <c r="F25" s="5" t="s">
        <v>35</v>
      </c>
      <c r="G25" s="5" t="s">
        <v>35</v>
      </c>
      <c r="H25" s="5" t="s">
        <v>34</v>
      </c>
      <c r="I25" s="5" t="s">
        <v>34</v>
      </c>
      <c r="J25" s="5" t="s">
        <v>34</v>
      </c>
      <c r="K25" s="5" t="s">
        <v>34</v>
      </c>
      <c r="L25" s="5" t="s">
        <v>35</v>
      </c>
      <c r="M25" s="5" t="s">
        <v>35</v>
      </c>
      <c r="N25" s="5" t="s">
        <v>35</v>
      </c>
      <c r="O25" s="5" t="s">
        <v>34</v>
      </c>
      <c r="P25" s="5" t="s">
        <v>34</v>
      </c>
      <c r="Q25" s="5" t="s">
        <v>35</v>
      </c>
    </row>
    <row r="26" spans="1:17" ht="17" thickBot="1" x14ac:dyDescent="0.5">
      <c r="A26" s="4" t="s">
        <v>15</v>
      </c>
      <c r="B26" s="4">
        <v>154</v>
      </c>
      <c r="C26" s="5" t="s">
        <v>35</v>
      </c>
      <c r="D26" s="5" t="s">
        <v>34</v>
      </c>
      <c r="E26" s="5" t="s">
        <v>35</v>
      </c>
      <c r="F26" s="5" t="s">
        <v>35</v>
      </c>
      <c r="G26" s="5" t="s">
        <v>34</v>
      </c>
      <c r="H26" s="5" t="s">
        <v>35</v>
      </c>
      <c r="I26" s="5" t="s">
        <v>35</v>
      </c>
      <c r="J26" s="5" t="s">
        <v>34</v>
      </c>
      <c r="K26" s="5" t="s">
        <v>34</v>
      </c>
      <c r="L26" s="5" t="s">
        <v>35</v>
      </c>
      <c r="M26" s="5" t="s">
        <v>34</v>
      </c>
      <c r="N26" s="5" t="s">
        <v>34</v>
      </c>
      <c r="O26" s="5" t="s">
        <v>35</v>
      </c>
      <c r="P26" s="5" t="s">
        <v>34</v>
      </c>
      <c r="Q26" s="5" t="s">
        <v>34</v>
      </c>
    </row>
    <row r="27" spans="1:17" ht="17" thickBot="1" x14ac:dyDescent="0.5">
      <c r="A27" s="4" t="s">
        <v>16</v>
      </c>
      <c r="B27" s="4">
        <v>171</v>
      </c>
      <c r="C27" s="5" t="s">
        <v>34</v>
      </c>
      <c r="D27" s="5" t="s">
        <v>35</v>
      </c>
      <c r="E27" s="5" t="s">
        <v>35</v>
      </c>
      <c r="F27" s="5" t="s">
        <v>35</v>
      </c>
      <c r="G27" s="5" t="s">
        <v>34</v>
      </c>
      <c r="H27" s="5" t="s">
        <v>34</v>
      </c>
      <c r="I27" s="5" t="s">
        <v>34</v>
      </c>
      <c r="J27" s="5" t="s">
        <v>35</v>
      </c>
      <c r="K27" s="5" t="s">
        <v>35</v>
      </c>
      <c r="L27" s="5" t="s">
        <v>35</v>
      </c>
      <c r="M27" s="5" t="s">
        <v>34</v>
      </c>
      <c r="N27" s="5" t="s">
        <v>34</v>
      </c>
      <c r="O27" s="5" t="s">
        <v>34</v>
      </c>
      <c r="P27" s="5" t="s">
        <v>35</v>
      </c>
      <c r="Q27" s="5" t="s">
        <v>34</v>
      </c>
    </row>
    <row r="28" spans="1:17" ht="17" thickBot="1" x14ac:dyDescent="0.5">
      <c r="A28" s="4" t="s">
        <v>17</v>
      </c>
      <c r="B28" s="4">
        <v>160</v>
      </c>
      <c r="C28" s="5" t="s">
        <v>35</v>
      </c>
      <c r="D28" s="5" t="s">
        <v>35</v>
      </c>
      <c r="E28" s="5" t="s">
        <v>35</v>
      </c>
      <c r="F28" s="5" t="s">
        <v>35</v>
      </c>
      <c r="G28" s="5" t="s">
        <v>35</v>
      </c>
      <c r="H28" s="5" t="s">
        <v>35</v>
      </c>
      <c r="I28" s="5" t="s">
        <v>35</v>
      </c>
      <c r="J28" s="5" t="s">
        <v>35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35</v>
      </c>
      <c r="P28" s="5" t="s">
        <v>35</v>
      </c>
      <c r="Q28" s="5" t="s">
        <v>35</v>
      </c>
    </row>
    <row r="29" spans="1:17" ht="17" thickBot="1" x14ac:dyDescent="0.5"/>
    <row r="30" spans="1:17" ht="17" thickBot="1" x14ac:dyDescent="0.5">
      <c r="A30" s="4" t="s">
        <v>18</v>
      </c>
      <c r="B30" s="4" t="s">
        <v>36</v>
      </c>
      <c r="C30" s="4" t="s">
        <v>19</v>
      </c>
      <c r="D30" s="4" t="s">
        <v>20</v>
      </c>
      <c r="E30" s="4" t="s">
        <v>21</v>
      </c>
      <c r="F30" s="4" t="s">
        <v>22</v>
      </c>
      <c r="G30" s="4" t="s">
        <v>23</v>
      </c>
      <c r="H30" s="4" t="s">
        <v>24</v>
      </c>
      <c r="I30" s="4" t="s">
        <v>25</v>
      </c>
      <c r="J30" s="4" t="s">
        <v>26</v>
      </c>
      <c r="K30" s="4" t="s">
        <v>27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33</v>
      </c>
    </row>
    <row r="31" spans="1:17" ht="17" thickBot="1" x14ac:dyDescent="0.5">
      <c r="A31" s="4">
        <v>1</v>
      </c>
      <c r="B31" s="4">
        <v>183</v>
      </c>
      <c r="C31">
        <f>IF(C13 = "-",-1,1)</f>
        <v>-1</v>
      </c>
      <c r="D31">
        <f>IF(D13 = "-",-1,1)</f>
        <v>-1</v>
      </c>
      <c r="E31">
        <f>IF(E13 = "-",-1,1)</f>
        <v>-1</v>
      </c>
      <c r="F31">
        <f>IF(F13 = "-",-1,1)</f>
        <v>-1</v>
      </c>
      <c r="G31">
        <f>IF(G13 = "-",-1,1)</f>
        <v>1</v>
      </c>
      <c r="H31">
        <f>IF(H13 = "-",-1,1)</f>
        <v>1</v>
      </c>
      <c r="I31">
        <f>IF(I13 = "-",-1,1)</f>
        <v>1</v>
      </c>
      <c r="J31">
        <f>IF(J13 = "-",-1,1)</f>
        <v>1</v>
      </c>
      <c r="K31">
        <f>IF(K13 = "-",-1,1)</f>
        <v>1</v>
      </c>
      <c r="L31">
        <f>IF(L13 = "-",-1,1)</f>
        <v>1</v>
      </c>
      <c r="M31">
        <f>IF(M13 = "-",-1,1)</f>
        <v>-1</v>
      </c>
      <c r="N31">
        <f>IF(N13 = "-",-1,1)</f>
        <v>-1</v>
      </c>
      <c r="O31">
        <f>IF(O13 = "-",-1,1)</f>
        <v>-1</v>
      </c>
      <c r="P31">
        <f>IF(P13 = "-",-1,1)</f>
        <v>-1</v>
      </c>
      <c r="Q31">
        <f>IF(Q13 = "-",-1,1)</f>
        <v>1</v>
      </c>
    </row>
    <row r="32" spans="1:17" ht="17" thickBot="1" x14ac:dyDescent="0.5">
      <c r="A32" s="4" t="s">
        <v>1</v>
      </c>
      <c r="B32" s="4">
        <v>152</v>
      </c>
      <c r="C32">
        <f>IF(C14 = "-",-1,1)</f>
        <v>1</v>
      </c>
      <c r="D32">
        <f>IF(D14 = "-",-1,1)</f>
        <v>-1</v>
      </c>
      <c r="E32">
        <f>IF(E14 = "-",-1,1)</f>
        <v>-1</v>
      </c>
      <c r="F32">
        <f>IF(F14 = "-",-1,1)</f>
        <v>-1</v>
      </c>
      <c r="G32">
        <f>IF(G14 = "-",-1,1)</f>
        <v>-1</v>
      </c>
      <c r="H32">
        <f>IF(H14 = "-",-1,1)</f>
        <v>-1</v>
      </c>
      <c r="I32">
        <f>IF(I14 = "-",-1,1)</f>
        <v>-1</v>
      </c>
      <c r="J32">
        <f>IF(J14 = "-",-1,1)</f>
        <v>1</v>
      </c>
      <c r="K32">
        <f>IF(K14 = "-",-1,1)</f>
        <v>1</v>
      </c>
      <c r="L32">
        <f>IF(L14 = "-",-1,1)</f>
        <v>1</v>
      </c>
      <c r="M32">
        <f>IF(M14 = "-",-1,1)</f>
        <v>1</v>
      </c>
      <c r="N32">
        <f>IF(N14 = "-",-1,1)</f>
        <v>1</v>
      </c>
      <c r="O32">
        <f>IF(O14 = "-",-1,1)</f>
        <v>1</v>
      </c>
      <c r="P32">
        <f>IF(P14 = "-",-1,1)</f>
        <v>-1</v>
      </c>
      <c r="Q32">
        <f>IF(Q14 = "-",-1,1)</f>
        <v>-1</v>
      </c>
    </row>
    <row r="33" spans="1:17" ht="17" thickBot="1" x14ac:dyDescent="0.5">
      <c r="A33" s="4" t="s">
        <v>3</v>
      </c>
      <c r="B33" s="4">
        <v>166</v>
      </c>
      <c r="C33">
        <f>IF(C15 = "-",-1,1)</f>
        <v>-1</v>
      </c>
      <c r="D33">
        <f>IF(D15 = "-",-1,1)</f>
        <v>1</v>
      </c>
      <c r="E33">
        <f>IF(E15 = "-",-1,1)</f>
        <v>-1</v>
      </c>
      <c r="F33">
        <f>IF(F15 = "-",-1,1)</f>
        <v>-1</v>
      </c>
      <c r="G33">
        <f>IF(G15 = "-",-1,1)</f>
        <v>-1</v>
      </c>
      <c r="H33">
        <f>IF(H15 = "-",-1,1)</f>
        <v>1</v>
      </c>
      <c r="I33">
        <f>IF(I15 = "-",-1,1)</f>
        <v>1</v>
      </c>
      <c r="J33">
        <f>IF(J15 = "-",-1,1)</f>
        <v>-1</v>
      </c>
      <c r="K33">
        <f>IF(K15 = "-",-1,1)</f>
        <v>-1</v>
      </c>
      <c r="L33">
        <f>IF(L15 = "-",-1,1)</f>
        <v>1</v>
      </c>
      <c r="M33">
        <f>IF(M15 = "-",-1,1)</f>
        <v>1</v>
      </c>
      <c r="N33">
        <f>IF(N15 = "-",-1,1)</f>
        <v>1</v>
      </c>
      <c r="O33">
        <f>IF(O15 = "-",-1,1)</f>
        <v>-1</v>
      </c>
      <c r="P33">
        <f>IF(P15 = "-",-1,1)</f>
        <v>1</v>
      </c>
      <c r="Q33">
        <f>IF(Q15 = "-",-1,1)</f>
        <v>-1</v>
      </c>
    </row>
    <row r="34" spans="1:17" ht="17" thickBot="1" x14ac:dyDescent="0.5">
      <c r="A34" s="4" t="s">
        <v>4</v>
      </c>
      <c r="B34" s="4">
        <v>163</v>
      </c>
      <c r="C34">
        <f>IF(C16 = "-",-1,1)</f>
        <v>1</v>
      </c>
      <c r="D34">
        <f>IF(D16 = "-",-1,1)</f>
        <v>1</v>
      </c>
      <c r="E34">
        <f>IF(E16 = "-",-1,1)</f>
        <v>-1</v>
      </c>
      <c r="F34">
        <f>IF(F16 = "-",-1,1)</f>
        <v>-1</v>
      </c>
      <c r="G34">
        <f>IF(G16 = "-",-1,1)</f>
        <v>1</v>
      </c>
      <c r="H34">
        <f>IF(H16 = "-",-1,1)</f>
        <v>-1</v>
      </c>
      <c r="I34">
        <f>IF(I16 = "-",-1,1)</f>
        <v>-1</v>
      </c>
      <c r="J34">
        <f>IF(J16 = "-",-1,1)</f>
        <v>-1</v>
      </c>
      <c r="K34">
        <f>IF(K16 = "-",-1,1)</f>
        <v>-1</v>
      </c>
      <c r="L34">
        <f>IF(L16 = "-",-1,1)</f>
        <v>1</v>
      </c>
      <c r="M34">
        <f>IF(M16 = "-",-1,1)</f>
        <v>-1</v>
      </c>
      <c r="N34">
        <f>IF(N16 = "-",-1,1)</f>
        <v>-1</v>
      </c>
      <c r="O34">
        <f>IF(O16 = "-",-1,1)</f>
        <v>1</v>
      </c>
      <c r="P34">
        <f>IF(P16 = "-",-1,1)</f>
        <v>1</v>
      </c>
      <c r="Q34">
        <f>IF(Q16 = "-",-1,1)</f>
        <v>1</v>
      </c>
    </row>
    <row r="35" spans="1:17" ht="17" thickBot="1" x14ac:dyDescent="0.5">
      <c r="A35" s="4" t="s">
        <v>5</v>
      </c>
      <c r="B35" s="4">
        <v>155</v>
      </c>
      <c r="C35">
        <f>IF(C17 = "-",-1,1)</f>
        <v>-1</v>
      </c>
      <c r="D35">
        <f>IF(D17 = "-",-1,1)</f>
        <v>-1</v>
      </c>
      <c r="E35">
        <f>IF(E17 = "-",-1,1)</f>
        <v>1</v>
      </c>
      <c r="F35">
        <f>IF(F17 = "-",-1,1)</f>
        <v>-1</v>
      </c>
      <c r="G35">
        <f>IF(G17 = "-",-1,1)</f>
        <v>1</v>
      </c>
      <c r="H35">
        <f>IF(H17 = "-",-1,1)</f>
        <v>-1</v>
      </c>
      <c r="I35">
        <f>IF(I17 = "-",-1,1)</f>
        <v>1</v>
      </c>
      <c r="J35">
        <f>IF(J17 = "-",-1,1)</f>
        <v>-1</v>
      </c>
      <c r="K35">
        <f>IF(K17 = "-",-1,1)</f>
        <v>1</v>
      </c>
      <c r="L35">
        <f>IF(L17 = "-",-1,1)</f>
        <v>-1</v>
      </c>
      <c r="M35">
        <f>IF(M17 = "-",-1,1)</f>
        <v>1</v>
      </c>
      <c r="N35">
        <f>IF(N17 = "-",-1,1)</f>
        <v>-1</v>
      </c>
      <c r="O35">
        <f>IF(O17 = "-",-1,1)</f>
        <v>1</v>
      </c>
      <c r="P35">
        <f>IF(P17 = "-",-1,1)</f>
        <v>1</v>
      </c>
      <c r="Q35">
        <f>IF(Q17 = "-",-1,1)</f>
        <v>-1</v>
      </c>
    </row>
    <row r="36" spans="1:17" ht="17" thickBot="1" x14ac:dyDescent="0.5">
      <c r="A36" s="4" t="s">
        <v>6</v>
      </c>
      <c r="B36" s="4">
        <v>161</v>
      </c>
      <c r="C36">
        <f>IF(C18 = "-",-1,1)</f>
        <v>1</v>
      </c>
      <c r="D36">
        <f>IF(D18 = "-",-1,1)</f>
        <v>-1</v>
      </c>
      <c r="E36">
        <f>IF(E18 = "-",-1,1)</f>
        <v>1</v>
      </c>
      <c r="F36">
        <f>IF(F18 = "-",-1,1)</f>
        <v>-1</v>
      </c>
      <c r="G36">
        <f>IF(G18 = "-",-1,1)</f>
        <v>-1</v>
      </c>
      <c r="H36">
        <f>IF(H18 = "-",-1,1)</f>
        <v>1</v>
      </c>
      <c r="I36">
        <f>IF(I18 = "-",-1,1)</f>
        <v>-1</v>
      </c>
      <c r="J36">
        <f>IF(J18 = "-",-1,1)</f>
        <v>-1</v>
      </c>
      <c r="K36">
        <f>IF(K18 = "-",-1,1)</f>
        <v>1</v>
      </c>
      <c r="L36">
        <f>IF(L18 = "-",-1,1)</f>
        <v>-1</v>
      </c>
      <c r="M36">
        <f>IF(M18 = "-",-1,1)</f>
        <v>-1</v>
      </c>
      <c r="N36">
        <f>IF(N18 = "-",-1,1)</f>
        <v>1</v>
      </c>
      <c r="O36">
        <f>IF(O18 = "-",-1,1)</f>
        <v>-1</v>
      </c>
      <c r="P36">
        <f>IF(P18 = "-",-1,1)</f>
        <v>1</v>
      </c>
      <c r="Q36">
        <f>IF(Q18 = "-",-1,1)</f>
        <v>1</v>
      </c>
    </row>
    <row r="37" spans="1:17" ht="17" thickBot="1" x14ac:dyDescent="0.5">
      <c r="A37" s="4" t="s">
        <v>7</v>
      </c>
      <c r="B37" s="4">
        <v>170</v>
      </c>
      <c r="C37">
        <f>IF(C19 = "-",-1,1)</f>
        <v>-1</v>
      </c>
      <c r="D37">
        <f>IF(D19 = "-",-1,1)</f>
        <v>1</v>
      </c>
      <c r="E37">
        <f>IF(E19 = "-",-1,1)</f>
        <v>1</v>
      </c>
      <c r="F37">
        <f>IF(F19 = "-",-1,1)</f>
        <v>-1</v>
      </c>
      <c r="G37">
        <f>IF(G19 = "-",-1,1)</f>
        <v>-1</v>
      </c>
      <c r="H37">
        <f>IF(H19 = "-",-1,1)</f>
        <v>-1</v>
      </c>
      <c r="I37">
        <f>IF(I19 = "-",-1,1)</f>
        <v>1</v>
      </c>
      <c r="J37">
        <f>IF(J19 = "-",-1,1)</f>
        <v>1</v>
      </c>
      <c r="K37">
        <f>IF(K19 = "-",-1,1)</f>
        <v>-1</v>
      </c>
      <c r="L37">
        <f>IF(L19 = "-",-1,1)</f>
        <v>-1</v>
      </c>
      <c r="M37">
        <f>IF(M19 = "-",-1,1)</f>
        <v>-1</v>
      </c>
      <c r="N37">
        <f>IF(N19 = "-",-1,1)</f>
        <v>1</v>
      </c>
      <c r="O37">
        <f>IF(O19 = "-",-1,1)</f>
        <v>1</v>
      </c>
      <c r="P37">
        <f>IF(P19 = "-",-1,1)</f>
        <v>-1</v>
      </c>
      <c r="Q37">
        <f>IF(Q19 = "-",-1,1)</f>
        <v>1</v>
      </c>
    </row>
    <row r="38" spans="1:17" ht="17" thickBot="1" x14ac:dyDescent="0.5">
      <c r="A38" s="4" t="s">
        <v>8</v>
      </c>
      <c r="B38" s="4">
        <v>143</v>
      </c>
      <c r="C38">
        <f>IF(C20 = "-",-1,1)</f>
        <v>1</v>
      </c>
      <c r="D38">
        <f>IF(D20 = "-",-1,1)</f>
        <v>1</v>
      </c>
      <c r="E38">
        <f>IF(E20 = "-",-1,1)</f>
        <v>1</v>
      </c>
      <c r="F38">
        <f>IF(F20 = "-",-1,1)</f>
        <v>-1</v>
      </c>
      <c r="G38">
        <f>IF(G20 = "-",-1,1)</f>
        <v>1</v>
      </c>
      <c r="H38">
        <f>IF(H20 = "-",-1,1)</f>
        <v>1</v>
      </c>
      <c r="I38">
        <f>IF(I20 = "-",-1,1)</f>
        <v>-1</v>
      </c>
      <c r="J38">
        <f>IF(J20 = "-",-1,1)</f>
        <v>1</v>
      </c>
      <c r="K38">
        <f>IF(K20 = "-",-1,1)</f>
        <v>-1</v>
      </c>
      <c r="L38">
        <f>IF(L20 = "-",-1,1)</f>
        <v>-1</v>
      </c>
      <c r="M38">
        <f>IF(M20 = "-",-1,1)</f>
        <v>1</v>
      </c>
      <c r="N38">
        <f>IF(N20 = "-",-1,1)</f>
        <v>-1</v>
      </c>
      <c r="O38">
        <f>IF(O20 = "-",-1,1)</f>
        <v>-1</v>
      </c>
      <c r="P38">
        <f>IF(P20 = "-",-1,1)</f>
        <v>-1</v>
      </c>
      <c r="Q38">
        <f>IF(Q20 = "-",-1,1)</f>
        <v>-1</v>
      </c>
    </row>
    <row r="39" spans="1:17" ht="17" thickBot="1" x14ac:dyDescent="0.5">
      <c r="A39" s="4" t="s">
        <v>10</v>
      </c>
      <c r="B39" s="4">
        <v>193</v>
      </c>
      <c r="C39">
        <f>IF(C21 = "-",-1,1)</f>
        <v>-1</v>
      </c>
      <c r="D39">
        <f>IF(D21 = "-",-1,1)</f>
        <v>-1</v>
      </c>
      <c r="E39">
        <f>IF(E21 = "-",-1,1)</f>
        <v>-1</v>
      </c>
      <c r="F39">
        <f>IF(F21 = "-",-1,1)</f>
        <v>1</v>
      </c>
      <c r="G39">
        <f>IF(G21 = "-",-1,1)</f>
        <v>1</v>
      </c>
      <c r="H39">
        <f>IF(H21 = "-",-1,1)</f>
        <v>1</v>
      </c>
      <c r="I39">
        <f>IF(I21 = "-",-1,1)</f>
        <v>-1</v>
      </c>
      <c r="J39">
        <f>IF(J21 = "-",-1,1)</f>
        <v>1</v>
      </c>
      <c r="K39">
        <f>IF(K21 = "-",-1,1)</f>
        <v>-1</v>
      </c>
      <c r="L39">
        <f>IF(L21 = "-",-1,1)</f>
        <v>-1</v>
      </c>
      <c r="M39">
        <f>IF(M21 = "-",-1,1)</f>
        <v>-1</v>
      </c>
      <c r="N39">
        <f>IF(N21 = "-",-1,1)</f>
        <v>1</v>
      </c>
      <c r="O39">
        <f>IF(O21 = "-",-1,1)</f>
        <v>1</v>
      </c>
      <c r="P39">
        <f>IF(P21 = "-",-1,1)</f>
        <v>1</v>
      </c>
      <c r="Q39">
        <f>IF(Q21 = "-",-1,1)</f>
        <v>-1</v>
      </c>
    </row>
    <row r="40" spans="1:17" ht="17" thickBot="1" x14ac:dyDescent="0.5">
      <c r="A40" s="4" t="s">
        <v>11</v>
      </c>
      <c r="B40" s="4">
        <v>148</v>
      </c>
      <c r="C40">
        <f>IF(C22 = "-",-1,1)</f>
        <v>1</v>
      </c>
      <c r="D40">
        <f>IF(D22 = "-",-1,1)</f>
        <v>-1</v>
      </c>
      <c r="E40">
        <f>IF(E22 = "-",-1,1)</f>
        <v>-1</v>
      </c>
      <c r="F40">
        <f>IF(F22 = "-",-1,1)</f>
        <v>1</v>
      </c>
      <c r="G40">
        <f>IF(G22 = "-",-1,1)</f>
        <v>-1</v>
      </c>
      <c r="H40">
        <f>IF(H22 = "-",-1,1)</f>
        <v>-1</v>
      </c>
      <c r="I40">
        <f>IF(I22 = "-",-1,1)</f>
        <v>1</v>
      </c>
      <c r="J40">
        <f>IF(J22 = "-",-1,1)</f>
        <v>1</v>
      </c>
      <c r="K40">
        <f>IF(K22 = "-",-1,1)</f>
        <v>-1</v>
      </c>
      <c r="L40">
        <f>IF(L22 = "-",-1,1)</f>
        <v>-1</v>
      </c>
      <c r="M40">
        <f>IF(M22 = "-",-1,1)</f>
        <v>1</v>
      </c>
      <c r="N40">
        <f>IF(N22 = "-",-1,1)</f>
        <v>-1</v>
      </c>
      <c r="O40">
        <f>IF(O22 = "-",-1,1)</f>
        <v>-1</v>
      </c>
      <c r="P40">
        <f>IF(P22 = "-",-1,1)</f>
        <v>1</v>
      </c>
      <c r="Q40">
        <f>IF(Q22 = "-",-1,1)</f>
        <v>1</v>
      </c>
    </row>
    <row r="41" spans="1:17" ht="17" thickBot="1" x14ac:dyDescent="0.5">
      <c r="A41" s="4" t="s">
        <v>12</v>
      </c>
      <c r="B41" s="4">
        <v>170</v>
      </c>
      <c r="C41">
        <f>IF(C23 = "-",-1,1)</f>
        <v>-1</v>
      </c>
      <c r="D41">
        <f>IF(D23 = "-",-1,1)</f>
        <v>1</v>
      </c>
      <c r="E41">
        <f>IF(E23 = "-",-1,1)</f>
        <v>-1</v>
      </c>
      <c r="F41">
        <f>IF(F23 = "-",-1,1)</f>
        <v>1</v>
      </c>
      <c r="G41">
        <f>IF(G23 = "-",-1,1)</f>
        <v>-1</v>
      </c>
      <c r="H41">
        <f>IF(H23 = "-",-1,1)</f>
        <v>1</v>
      </c>
      <c r="I41">
        <f>IF(I23 = "-",-1,1)</f>
        <v>-1</v>
      </c>
      <c r="J41">
        <f>IF(J23 = "-",-1,1)</f>
        <v>-1</v>
      </c>
      <c r="K41">
        <f>IF(K23 = "-",-1,1)</f>
        <v>1</v>
      </c>
      <c r="L41">
        <f>IF(L23 = "-",-1,1)</f>
        <v>-1</v>
      </c>
      <c r="M41">
        <f>IF(M23 = "-",-1,1)</f>
        <v>1</v>
      </c>
      <c r="N41">
        <f>IF(N23 = "-",-1,1)</f>
        <v>-1</v>
      </c>
      <c r="O41">
        <f>IF(O23 = "-",-1,1)</f>
        <v>1</v>
      </c>
      <c r="P41">
        <f>IF(P23 = "-",-1,1)</f>
        <v>-1</v>
      </c>
      <c r="Q41">
        <f>IF(Q23 = "-",-1,1)</f>
        <v>1</v>
      </c>
    </row>
    <row r="42" spans="1:17" ht="17" thickBot="1" x14ac:dyDescent="0.5">
      <c r="A42" s="4" t="s">
        <v>13</v>
      </c>
      <c r="B42" s="4">
        <v>171</v>
      </c>
      <c r="C42">
        <f>IF(C24 = "-",-1,1)</f>
        <v>1</v>
      </c>
      <c r="D42">
        <f>IF(D24 = "-",-1,1)</f>
        <v>1</v>
      </c>
      <c r="E42">
        <f>IF(E24 = "-",-1,1)</f>
        <v>-1</v>
      </c>
      <c r="F42">
        <f>IF(F24 = "-",-1,1)</f>
        <v>1</v>
      </c>
      <c r="G42">
        <f>IF(G24 = "-",-1,1)</f>
        <v>1</v>
      </c>
      <c r="H42">
        <f>IF(H24 = "-",-1,1)</f>
        <v>-1</v>
      </c>
      <c r="I42">
        <f>IF(I24 = "-",-1,1)</f>
        <v>1</v>
      </c>
      <c r="J42">
        <f>IF(J24 = "-",-1,1)</f>
        <v>-1</v>
      </c>
      <c r="K42">
        <f>IF(K24 = "-",-1,1)</f>
        <v>1</v>
      </c>
      <c r="L42">
        <f>IF(L24 = "-",-1,1)</f>
        <v>-1</v>
      </c>
      <c r="M42">
        <f>IF(M24 = "-",-1,1)</f>
        <v>-1</v>
      </c>
      <c r="N42">
        <f>IF(N24 = "-",-1,1)</f>
        <v>1</v>
      </c>
      <c r="O42">
        <f>IF(O24 = "-",-1,1)</f>
        <v>-1</v>
      </c>
      <c r="P42">
        <f>IF(P24 = "-",-1,1)</f>
        <v>-1</v>
      </c>
      <c r="Q42">
        <f>IF(Q24 = "-",-1,1)</f>
        <v>-1</v>
      </c>
    </row>
    <row r="43" spans="1:17" ht="17" thickBot="1" x14ac:dyDescent="0.5">
      <c r="A43" s="4" t="s">
        <v>14</v>
      </c>
      <c r="B43" s="4">
        <v>189</v>
      </c>
      <c r="C43">
        <f>IF(C25 = "-",-1,1)</f>
        <v>-1</v>
      </c>
      <c r="D43">
        <f>IF(D25 = "-",-1,1)</f>
        <v>-1</v>
      </c>
      <c r="E43">
        <f>IF(E25 = "-",-1,1)</f>
        <v>1</v>
      </c>
      <c r="F43">
        <f>IF(F25 = "-",-1,1)</f>
        <v>1</v>
      </c>
      <c r="G43">
        <f>IF(G25 = "-",-1,1)</f>
        <v>1</v>
      </c>
      <c r="H43">
        <f>IF(H25 = "-",-1,1)</f>
        <v>-1</v>
      </c>
      <c r="I43">
        <f>IF(I25 = "-",-1,1)</f>
        <v>-1</v>
      </c>
      <c r="J43">
        <f>IF(J25 = "-",-1,1)</f>
        <v>-1</v>
      </c>
      <c r="K43">
        <f>IF(K25 = "-",-1,1)</f>
        <v>-1</v>
      </c>
      <c r="L43">
        <f>IF(L25 = "-",-1,1)</f>
        <v>1</v>
      </c>
      <c r="M43">
        <f>IF(M25 = "-",-1,1)</f>
        <v>1</v>
      </c>
      <c r="N43">
        <f>IF(N25 = "-",-1,1)</f>
        <v>1</v>
      </c>
      <c r="O43">
        <f>IF(O25 = "-",-1,1)</f>
        <v>-1</v>
      </c>
      <c r="P43">
        <f>IF(P25 = "-",-1,1)</f>
        <v>-1</v>
      </c>
      <c r="Q43">
        <f>IF(Q25 = "-",-1,1)</f>
        <v>1</v>
      </c>
    </row>
    <row r="44" spans="1:17" ht="17" thickBot="1" x14ac:dyDescent="0.5">
      <c r="A44" s="4" t="s">
        <v>15</v>
      </c>
      <c r="B44" s="4">
        <v>154</v>
      </c>
      <c r="C44">
        <f>IF(C26 = "-",-1,1)</f>
        <v>1</v>
      </c>
      <c r="D44">
        <f>IF(D26 = "-",-1,1)</f>
        <v>-1</v>
      </c>
      <c r="E44">
        <f>IF(E26 = "-",-1,1)</f>
        <v>1</v>
      </c>
      <c r="F44">
        <f>IF(F26 = "-",-1,1)</f>
        <v>1</v>
      </c>
      <c r="G44">
        <f>IF(G26 = "-",-1,1)</f>
        <v>-1</v>
      </c>
      <c r="H44">
        <f>IF(H26 = "-",-1,1)</f>
        <v>1</v>
      </c>
      <c r="I44">
        <f>IF(I26 = "-",-1,1)</f>
        <v>1</v>
      </c>
      <c r="J44">
        <f>IF(J26 = "-",-1,1)</f>
        <v>-1</v>
      </c>
      <c r="K44">
        <f>IF(K26 = "-",-1,1)</f>
        <v>-1</v>
      </c>
      <c r="L44">
        <f>IF(L26 = "-",-1,1)</f>
        <v>1</v>
      </c>
      <c r="M44">
        <f>IF(M26 = "-",-1,1)</f>
        <v>-1</v>
      </c>
      <c r="N44">
        <f>IF(N26 = "-",-1,1)</f>
        <v>-1</v>
      </c>
      <c r="O44">
        <f>IF(O26 = "-",-1,1)</f>
        <v>1</v>
      </c>
      <c r="P44">
        <f>IF(P26 = "-",-1,1)</f>
        <v>-1</v>
      </c>
      <c r="Q44">
        <f>IF(Q26 = "-",-1,1)</f>
        <v>-1</v>
      </c>
    </row>
    <row r="45" spans="1:17" ht="17" thickBot="1" x14ac:dyDescent="0.5">
      <c r="A45" s="4" t="s">
        <v>16</v>
      </c>
      <c r="B45" s="4">
        <v>171</v>
      </c>
      <c r="C45">
        <f>IF(C27 = "-",-1,1)</f>
        <v>-1</v>
      </c>
      <c r="D45">
        <f>IF(D27 = "-",-1,1)</f>
        <v>1</v>
      </c>
      <c r="E45">
        <f>IF(E27 = "-",-1,1)</f>
        <v>1</v>
      </c>
      <c r="F45">
        <f>IF(F27 = "-",-1,1)</f>
        <v>1</v>
      </c>
      <c r="G45">
        <f>IF(G27 = "-",-1,1)</f>
        <v>-1</v>
      </c>
      <c r="H45">
        <f>IF(H27 = "-",-1,1)</f>
        <v>-1</v>
      </c>
      <c r="I45">
        <f>IF(I27 = "-",-1,1)</f>
        <v>-1</v>
      </c>
      <c r="J45">
        <f>IF(J27 = "-",-1,1)</f>
        <v>1</v>
      </c>
      <c r="K45">
        <f>IF(K27 = "-",-1,1)</f>
        <v>1</v>
      </c>
      <c r="L45">
        <f>IF(L27 = "-",-1,1)</f>
        <v>1</v>
      </c>
      <c r="M45">
        <f>IF(M27 = "-",-1,1)</f>
        <v>-1</v>
      </c>
      <c r="N45">
        <f>IF(N27 = "-",-1,1)</f>
        <v>-1</v>
      </c>
      <c r="O45">
        <f>IF(O27 = "-",-1,1)</f>
        <v>-1</v>
      </c>
      <c r="P45">
        <f>IF(P27 = "-",-1,1)</f>
        <v>1</v>
      </c>
      <c r="Q45">
        <f>IF(Q27 = "-",-1,1)</f>
        <v>-1</v>
      </c>
    </row>
    <row r="46" spans="1:17" ht="17" thickBot="1" x14ac:dyDescent="0.5">
      <c r="A46" s="4" t="s">
        <v>17</v>
      </c>
      <c r="B46" s="4">
        <v>160</v>
      </c>
      <c r="C46">
        <f>IF(C28 = "-",-1,1)</f>
        <v>1</v>
      </c>
      <c r="D46">
        <f>IF(D28 = "-",-1,1)</f>
        <v>1</v>
      </c>
      <c r="E46">
        <f>IF(E28 = "-",-1,1)</f>
        <v>1</v>
      </c>
      <c r="F46">
        <f>IF(F28 = "-",-1,1)</f>
        <v>1</v>
      </c>
      <c r="G46">
        <f>IF(G28 = "-",-1,1)</f>
        <v>1</v>
      </c>
      <c r="H46">
        <f>IF(H28 = "-",-1,1)</f>
        <v>1</v>
      </c>
      <c r="I46">
        <f>IF(I28 = "-",-1,1)</f>
        <v>1</v>
      </c>
      <c r="J46">
        <f>IF(J28 = "-",-1,1)</f>
        <v>1</v>
      </c>
      <c r="K46">
        <f>IF(K28 = "-",-1,1)</f>
        <v>1</v>
      </c>
      <c r="L46">
        <f>IF(L28 = "-",-1,1)</f>
        <v>1</v>
      </c>
      <c r="M46">
        <f>IF(M28 = "-",-1,1)</f>
        <v>1</v>
      </c>
      <c r="N46">
        <f>IF(N28 = "-",-1,1)</f>
        <v>1</v>
      </c>
      <c r="O46">
        <f>IF(O28 = "-",-1,1)</f>
        <v>1</v>
      </c>
      <c r="P46">
        <f>IF(P28 = "-",-1,1)</f>
        <v>1</v>
      </c>
      <c r="Q46">
        <f>IF(Q28 = "-",-1,1)</f>
        <v>1</v>
      </c>
    </row>
    <row r="47" spans="1:17" ht="17" thickBot="1" x14ac:dyDescent="0.5"/>
    <row r="48" spans="1:17" ht="17" thickBot="1" x14ac:dyDescent="0.5">
      <c r="A48" s="4" t="s">
        <v>18</v>
      </c>
      <c r="B48" s="4" t="s">
        <v>36</v>
      </c>
      <c r="C48" s="4" t="s">
        <v>19</v>
      </c>
      <c r="D48" s="4" t="s">
        <v>20</v>
      </c>
      <c r="E48" s="4" t="s">
        <v>21</v>
      </c>
      <c r="F48" s="4" t="s">
        <v>22</v>
      </c>
      <c r="G48" s="4" t="s">
        <v>23</v>
      </c>
      <c r="H48" s="4" t="s">
        <v>24</v>
      </c>
      <c r="I48" s="4" t="s">
        <v>25</v>
      </c>
      <c r="J48" s="4" t="s">
        <v>26</v>
      </c>
      <c r="K48" s="4" t="s">
        <v>27</v>
      </c>
      <c r="L48" s="4" t="s">
        <v>28</v>
      </c>
      <c r="M48" s="4" t="s">
        <v>29</v>
      </c>
      <c r="N48" s="4" t="s">
        <v>30</v>
      </c>
      <c r="O48" s="4" t="s">
        <v>31</v>
      </c>
      <c r="P48" s="4" t="s">
        <v>32</v>
      </c>
      <c r="Q48" s="4" t="s">
        <v>33</v>
      </c>
    </row>
    <row r="49" spans="1:17" ht="17" thickBot="1" x14ac:dyDescent="0.5">
      <c r="A49" s="4">
        <v>1</v>
      </c>
      <c r="B49" s="4">
        <v>183</v>
      </c>
      <c r="C49">
        <f>$B31*C31</f>
        <v>-183</v>
      </c>
      <c r="D49">
        <f t="shared" ref="D49:Q49" si="2">$B31*D31</f>
        <v>-183</v>
      </c>
      <c r="E49">
        <f t="shared" si="2"/>
        <v>-183</v>
      </c>
      <c r="F49">
        <f t="shared" si="2"/>
        <v>-183</v>
      </c>
      <c r="G49">
        <f t="shared" si="2"/>
        <v>183</v>
      </c>
      <c r="H49">
        <f t="shared" si="2"/>
        <v>183</v>
      </c>
      <c r="I49">
        <f t="shared" si="2"/>
        <v>183</v>
      </c>
      <c r="J49">
        <f t="shared" si="2"/>
        <v>183</v>
      </c>
      <c r="K49">
        <f t="shared" si="2"/>
        <v>183</v>
      </c>
      <c r="L49">
        <f t="shared" si="2"/>
        <v>183</v>
      </c>
      <c r="M49">
        <f t="shared" si="2"/>
        <v>-183</v>
      </c>
      <c r="N49">
        <f t="shared" si="2"/>
        <v>-183</v>
      </c>
      <c r="O49">
        <f t="shared" si="2"/>
        <v>-183</v>
      </c>
      <c r="P49">
        <f t="shared" si="2"/>
        <v>-183</v>
      </c>
      <c r="Q49">
        <f t="shared" si="2"/>
        <v>183</v>
      </c>
    </row>
    <row r="50" spans="1:17" ht="17" thickBot="1" x14ac:dyDescent="0.5">
      <c r="A50" s="4" t="s">
        <v>1</v>
      </c>
      <c r="B50" s="4">
        <v>152</v>
      </c>
      <c r="C50">
        <f t="shared" ref="C50:Q64" si="3">$B32*C32</f>
        <v>152</v>
      </c>
      <c r="D50">
        <f t="shared" si="3"/>
        <v>-152</v>
      </c>
      <c r="E50">
        <f t="shared" si="3"/>
        <v>-152</v>
      </c>
      <c r="F50">
        <f t="shared" si="3"/>
        <v>-152</v>
      </c>
      <c r="G50">
        <f t="shared" si="3"/>
        <v>-152</v>
      </c>
      <c r="H50">
        <f t="shared" si="3"/>
        <v>-152</v>
      </c>
      <c r="I50">
        <f t="shared" si="3"/>
        <v>-152</v>
      </c>
      <c r="J50">
        <f t="shared" si="3"/>
        <v>152</v>
      </c>
      <c r="K50">
        <f t="shared" si="3"/>
        <v>152</v>
      </c>
      <c r="L50">
        <f t="shared" si="3"/>
        <v>152</v>
      </c>
      <c r="M50">
        <f t="shared" si="3"/>
        <v>152</v>
      </c>
      <c r="N50">
        <f t="shared" si="3"/>
        <v>152</v>
      </c>
      <c r="O50">
        <f t="shared" si="3"/>
        <v>152</v>
      </c>
      <c r="P50">
        <f t="shared" si="3"/>
        <v>-152</v>
      </c>
      <c r="Q50">
        <f t="shared" si="3"/>
        <v>-152</v>
      </c>
    </row>
    <row r="51" spans="1:17" ht="17" thickBot="1" x14ac:dyDescent="0.5">
      <c r="A51" s="4" t="s">
        <v>3</v>
      </c>
      <c r="B51" s="4">
        <v>166</v>
      </c>
      <c r="C51">
        <f t="shared" si="3"/>
        <v>-166</v>
      </c>
      <c r="D51">
        <f t="shared" si="3"/>
        <v>166</v>
      </c>
      <c r="E51">
        <f t="shared" si="3"/>
        <v>-166</v>
      </c>
      <c r="F51">
        <f t="shared" si="3"/>
        <v>-166</v>
      </c>
      <c r="G51">
        <f t="shared" si="3"/>
        <v>-166</v>
      </c>
      <c r="H51">
        <f t="shared" si="3"/>
        <v>166</v>
      </c>
      <c r="I51">
        <f t="shared" si="3"/>
        <v>166</v>
      </c>
      <c r="J51">
        <f t="shared" si="3"/>
        <v>-166</v>
      </c>
      <c r="K51">
        <f t="shared" si="3"/>
        <v>-166</v>
      </c>
      <c r="L51">
        <f t="shared" si="3"/>
        <v>166</v>
      </c>
      <c r="M51">
        <f t="shared" si="3"/>
        <v>166</v>
      </c>
      <c r="N51">
        <f t="shared" si="3"/>
        <v>166</v>
      </c>
      <c r="O51">
        <f t="shared" si="3"/>
        <v>-166</v>
      </c>
      <c r="P51">
        <f t="shared" si="3"/>
        <v>166</v>
      </c>
      <c r="Q51">
        <f t="shared" si="3"/>
        <v>-166</v>
      </c>
    </row>
    <row r="52" spans="1:17" ht="17" thickBot="1" x14ac:dyDescent="0.5">
      <c r="A52" s="4" t="s">
        <v>4</v>
      </c>
      <c r="B52" s="4">
        <v>163</v>
      </c>
      <c r="C52">
        <f t="shared" si="3"/>
        <v>163</v>
      </c>
      <c r="D52">
        <f t="shared" si="3"/>
        <v>163</v>
      </c>
      <c r="E52">
        <f t="shared" si="3"/>
        <v>-163</v>
      </c>
      <c r="F52">
        <f t="shared" si="3"/>
        <v>-163</v>
      </c>
      <c r="G52">
        <f t="shared" si="3"/>
        <v>163</v>
      </c>
      <c r="H52">
        <f t="shared" si="3"/>
        <v>-163</v>
      </c>
      <c r="I52">
        <f t="shared" si="3"/>
        <v>-163</v>
      </c>
      <c r="J52">
        <f t="shared" si="3"/>
        <v>-163</v>
      </c>
      <c r="K52">
        <f t="shared" si="3"/>
        <v>-163</v>
      </c>
      <c r="L52">
        <f t="shared" si="3"/>
        <v>163</v>
      </c>
      <c r="M52">
        <f t="shared" si="3"/>
        <v>-163</v>
      </c>
      <c r="N52">
        <f t="shared" si="3"/>
        <v>-163</v>
      </c>
      <c r="O52">
        <f t="shared" si="3"/>
        <v>163</v>
      </c>
      <c r="P52">
        <f t="shared" si="3"/>
        <v>163</v>
      </c>
      <c r="Q52">
        <f t="shared" si="3"/>
        <v>163</v>
      </c>
    </row>
    <row r="53" spans="1:17" ht="17" thickBot="1" x14ac:dyDescent="0.5">
      <c r="A53" s="4" t="s">
        <v>5</v>
      </c>
      <c r="B53" s="4">
        <v>155</v>
      </c>
      <c r="C53">
        <f t="shared" si="3"/>
        <v>-155</v>
      </c>
      <c r="D53">
        <f t="shared" si="3"/>
        <v>-155</v>
      </c>
      <c r="E53">
        <f t="shared" si="3"/>
        <v>155</v>
      </c>
      <c r="F53">
        <f t="shared" si="3"/>
        <v>-155</v>
      </c>
      <c r="G53">
        <f t="shared" si="3"/>
        <v>155</v>
      </c>
      <c r="H53">
        <f t="shared" si="3"/>
        <v>-155</v>
      </c>
      <c r="I53">
        <f t="shared" si="3"/>
        <v>155</v>
      </c>
      <c r="J53">
        <f t="shared" si="3"/>
        <v>-155</v>
      </c>
      <c r="K53">
        <f t="shared" si="3"/>
        <v>155</v>
      </c>
      <c r="L53">
        <f t="shared" si="3"/>
        <v>-155</v>
      </c>
      <c r="M53">
        <f t="shared" si="3"/>
        <v>155</v>
      </c>
      <c r="N53">
        <f t="shared" si="3"/>
        <v>-155</v>
      </c>
      <c r="O53">
        <f t="shared" si="3"/>
        <v>155</v>
      </c>
      <c r="P53">
        <f t="shared" si="3"/>
        <v>155</v>
      </c>
      <c r="Q53">
        <f t="shared" si="3"/>
        <v>-155</v>
      </c>
    </row>
    <row r="54" spans="1:17" ht="17" thickBot="1" x14ac:dyDescent="0.5">
      <c r="A54" s="4" t="s">
        <v>6</v>
      </c>
      <c r="B54" s="4">
        <v>161</v>
      </c>
      <c r="C54">
        <f t="shared" si="3"/>
        <v>161</v>
      </c>
      <c r="D54">
        <f t="shared" si="3"/>
        <v>-161</v>
      </c>
      <c r="E54">
        <f t="shared" si="3"/>
        <v>161</v>
      </c>
      <c r="F54">
        <f t="shared" si="3"/>
        <v>-161</v>
      </c>
      <c r="G54">
        <f t="shared" si="3"/>
        <v>-161</v>
      </c>
      <c r="H54">
        <f t="shared" si="3"/>
        <v>161</v>
      </c>
      <c r="I54">
        <f t="shared" si="3"/>
        <v>-161</v>
      </c>
      <c r="J54">
        <f t="shared" si="3"/>
        <v>-161</v>
      </c>
      <c r="K54">
        <f t="shared" si="3"/>
        <v>161</v>
      </c>
      <c r="L54">
        <f t="shared" si="3"/>
        <v>-161</v>
      </c>
      <c r="M54">
        <f t="shared" si="3"/>
        <v>-161</v>
      </c>
      <c r="N54">
        <f t="shared" si="3"/>
        <v>161</v>
      </c>
      <c r="O54">
        <f t="shared" si="3"/>
        <v>-161</v>
      </c>
      <c r="P54">
        <f t="shared" si="3"/>
        <v>161</v>
      </c>
      <c r="Q54">
        <f t="shared" si="3"/>
        <v>161</v>
      </c>
    </row>
    <row r="55" spans="1:17" ht="17" thickBot="1" x14ac:dyDescent="0.5">
      <c r="A55" s="4" t="s">
        <v>7</v>
      </c>
      <c r="B55" s="4">
        <v>170</v>
      </c>
      <c r="C55">
        <f t="shared" si="3"/>
        <v>-170</v>
      </c>
      <c r="D55">
        <f t="shared" si="3"/>
        <v>170</v>
      </c>
      <c r="E55">
        <f t="shared" si="3"/>
        <v>170</v>
      </c>
      <c r="F55">
        <f t="shared" si="3"/>
        <v>-170</v>
      </c>
      <c r="G55">
        <f t="shared" si="3"/>
        <v>-170</v>
      </c>
      <c r="H55">
        <f t="shared" si="3"/>
        <v>-170</v>
      </c>
      <c r="I55">
        <f t="shared" si="3"/>
        <v>170</v>
      </c>
      <c r="J55">
        <f t="shared" si="3"/>
        <v>170</v>
      </c>
      <c r="K55">
        <f t="shared" si="3"/>
        <v>-170</v>
      </c>
      <c r="L55">
        <f t="shared" si="3"/>
        <v>-170</v>
      </c>
      <c r="M55">
        <f t="shared" si="3"/>
        <v>-170</v>
      </c>
      <c r="N55">
        <f t="shared" si="3"/>
        <v>170</v>
      </c>
      <c r="O55">
        <f t="shared" si="3"/>
        <v>170</v>
      </c>
      <c r="P55">
        <f t="shared" si="3"/>
        <v>-170</v>
      </c>
      <c r="Q55">
        <f t="shared" si="3"/>
        <v>170</v>
      </c>
    </row>
    <row r="56" spans="1:17" ht="17" thickBot="1" x14ac:dyDescent="0.5">
      <c r="A56" s="4" t="s">
        <v>8</v>
      </c>
      <c r="B56" s="4">
        <v>143</v>
      </c>
      <c r="C56">
        <f t="shared" si="3"/>
        <v>143</v>
      </c>
      <c r="D56">
        <f t="shared" si="3"/>
        <v>143</v>
      </c>
      <c r="E56">
        <f t="shared" si="3"/>
        <v>143</v>
      </c>
      <c r="F56">
        <f t="shared" si="3"/>
        <v>-143</v>
      </c>
      <c r="G56">
        <f t="shared" si="3"/>
        <v>143</v>
      </c>
      <c r="H56">
        <f t="shared" si="3"/>
        <v>143</v>
      </c>
      <c r="I56">
        <f t="shared" si="3"/>
        <v>-143</v>
      </c>
      <c r="J56">
        <f t="shared" si="3"/>
        <v>143</v>
      </c>
      <c r="K56">
        <f t="shared" si="3"/>
        <v>-143</v>
      </c>
      <c r="L56">
        <f t="shared" si="3"/>
        <v>-143</v>
      </c>
      <c r="M56">
        <f t="shared" si="3"/>
        <v>143</v>
      </c>
      <c r="N56">
        <f t="shared" si="3"/>
        <v>-143</v>
      </c>
      <c r="O56">
        <f t="shared" si="3"/>
        <v>-143</v>
      </c>
      <c r="P56">
        <f t="shared" si="3"/>
        <v>-143</v>
      </c>
      <c r="Q56">
        <f t="shared" si="3"/>
        <v>-143</v>
      </c>
    </row>
    <row r="57" spans="1:17" ht="17" thickBot="1" x14ac:dyDescent="0.5">
      <c r="A57" s="4" t="s">
        <v>10</v>
      </c>
      <c r="B57" s="4">
        <v>193</v>
      </c>
      <c r="C57">
        <f t="shared" si="3"/>
        <v>-193</v>
      </c>
      <c r="D57">
        <f t="shared" si="3"/>
        <v>-193</v>
      </c>
      <c r="E57">
        <f t="shared" si="3"/>
        <v>-193</v>
      </c>
      <c r="F57">
        <f t="shared" si="3"/>
        <v>193</v>
      </c>
      <c r="G57">
        <f t="shared" si="3"/>
        <v>193</v>
      </c>
      <c r="H57">
        <f t="shared" si="3"/>
        <v>193</v>
      </c>
      <c r="I57">
        <f t="shared" si="3"/>
        <v>-193</v>
      </c>
      <c r="J57">
        <f t="shared" si="3"/>
        <v>193</v>
      </c>
      <c r="K57">
        <f t="shared" si="3"/>
        <v>-193</v>
      </c>
      <c r="L57">
        <f t="shared" si="3"/>
        <v>-193</v>
      </c>
      <c r="M57">
        <f t="shared" si="3"/>
        <v>-193</v>
      </c>
      <c r="N57">
        <f t="shared" si="3"/>
        <v>193</v>
      </c>
      <c r="O57">
        <f t="shared" si="3"/>
        <v>193</v>
      </c>
      <c r="P57">
        <f t="shared" si="3"/>
        <v>193</v>
      </c>
      <c r="Q57">
        <f t="shared" si="3"/>
        <v>-193</v>
      </c>
    </row>
    <row r="58" spans="1:17" ht="17" thickBot="1" x14ac:dyDescent="0.5">
      <c r="A58" s="4" t="s">
        <v>11</v>
      </c>
      <c r="B58" s="4">
        <v>148</v>
      </c>
      <c r="C58">
        <f t="shared" si="3"/>
        <v>148</v>
      </c>
      <c r="D58">
        <f t="shared" si="3"/>
        <v>-148</v>
      </c>
      <c r="E58">
        <f t="shared" si="3"/>
        <v>-148</v>
      </c>
      <c r="F58">
        <f t="shared" si="3"/>
        <v>148</v>
      </c>
      <c r="G58">
        <f t="shared" si="3"/>
        <v>-148</v>
      </c>
      <c r="H58">
        <f t="shared" si="3"/>
        <v>-148</v>
      </c>
      <c r="I58">
        <f t="shared" si="3"/>
        <v>148</v>
      </c>
      <c r="J58">
        <f t="shared" si="3"/>
        <v>148</v>
      </c>
      <c r="K58">
        <f t="shared" si="3"/>
        <v>-148</v>
      </c>
      <c r="L58">
        <f t="shared" si="3"/>
        <v>-148</v>
      </c>
      <c r="M58">
        <f t="shared" si="3"/>
        <v>148</v>
      </c>
      <c r="N58">
        <f t="shared" si="3"/>
        <v>-148</v>
      </c>
      <c r="O58">
        <f t="shared" si="3"/>
        <v>-148</v>
      </c>
      <c r="P58">
        <f t="shared" si="3"/>
        <v>148</v>
      </c>
      <c r="Q58">
        <f t="shared" si="3"/>
        <v>148</v>
      </c>
    </row>
    <row r="59" spans="1:17" ht="17" thickBot="1" x14ac:dyDescent="0.5">
      <c r="A59" s="4" t="s">
        <v>12</v>
      </c>
      <c r="B59" s="4">
        <v>170</v>
      </c>
      <c r="C59">
        <f t="shared" si="3"/>
        <v>-170</v>
      </c>
      <c r="D59">
        <f t="shared" si="3"/>
        <v>170</v>
      </c>
      <c r="E59">
        <f t="shared" si="3"/>
        <v>-170</v>
      </c>
      <c r="F59">
        <f t="shared" si="3"/>
        <v>170</v>
      </c>
      <c r="G59">
        <f t="shared" si="3"/>
        <v>-170</v>
      </c>
      <c r="H59">
        <f t="shared" si="3"/>
        <v>170</v>
      </c>
      <c r="I59">
        <f t="shared" si="3"/>
        <v>-170</v>
      </c>
      <c r="J59">
        <f t="shared" si="3"/>
        <v>-170</v>
      </c>
      <c r="K59">
        <f t="shared" si="3"/>
        <v>170</v>
      </c>
      <c r="L59">
        <f t="shared" si="3"/>
        <v>-170</v>
      </c>
      <c r="M59">
        <f t="shared" si="3"/>
        <v>170</v>
      </c>
      <c r="N59">
        <f t="shared" si="3"/>
        <v>-170</v>
      </c>
      <c r="O59">
        <f t="shared" si="3"/>
        <v>170</v>
      </c>
      <c r="P59">
        <f t="shared" si="3"/>
        <v>-170</v>
      </c>
      <c r="Q59">
        <f t="shared" si="3"/>
        <v>170</v>
      </c>
    </row>
    <row r="60" spans="1:17" ht="17" thickBot="1" x14ac:dyDescent="0.5">
      <c r="A60" s="4" t="s">
        <v>13</v>
      </c>
      <c r="B60" s="4">
        <v>171</v>
      </c>
      <c r="C60">
        <f t="shared" si="3"/>
        <v>171</v>
      </c>
      <c r="D60">
        <f t="shared" si="3"/>
        <v>171</v>
      </c>
      <c r="E60">
        <f t="shared" si="3"/>
        <v>-171</v>
      </c>
      <c r="F60">
        <f t="shared" si="3"/>
        <v>171</v>
      </c>
      <c r="G60">
        <f t="shared" si="3"/>
        <v>171</v>
      </c>
      <c r="H60">
        <f t="shared" si="3"/>
        <v>-171</v>
      </c>
      <c r="I60">
        <f t="shared" si="3"/>
        <v>171</v>
      </c>
      <c r="J60">
        <f t="shared" si="3"/>
        <v>-171</v>
      </c>
      <c r="K60">
        <f t="shared" si="3"/>
        <v>171</v>
      </c>
      <c r="L60">
        <f t="shared" si="3"/>
        <v>-171</v>
      </c>
      <c r="M60">
        <f t="shared" si="3"/>
        <v>-171</v>
      </c>
      <c r="N60">
        <f t="shared" si="3"/>
        <v>171</v>
      </c>
      <c r="O60">
        <f t="shared" si="3"/>
        <v>-171</v>
      </c>
      <c r="P60">
        <f t="shared" si="3"/>
        <v>-171</v>
      </c>
      <c r="Q60">
        <f t="shared" si="3"/>
        <v>-171</v>
      </c>
    </row>
    <row r="61" spans="1:17" ht="17" thickBot="1" x14ac:dyDescent="0.5">
      <c r="A61" s="4" t="s">
        <v>14</v>
      </c>
      <c r="B61" s="4">
        <v>189</v>
      </c>
      <c r="C61">
        <f t="shared" si="3"/>
        <v>-189</v>
      </c>
      <c r="D61">
        <f t="shared" si="3"/>
        <v>-189</v>
      </c>
      <c r="E61">
        <f t="shared" si="3"/>
        <v>189</v>
      </c>
      <c r="F61">
        <f t="shared" si="3"/>
        <v>189</v>
      </c>
      <c r="G61">
        <f t="shared" si="3"/>
        <v>189</v>
      </c>
      <c r="H61">
        <f t="shared" si="3"/>
        <v>-189</v>
      </c>
      <c r="I61">
        <f t="shared" si="3"/>
        <v>-189</v>
      </c>
      <c r="J61">
        <f t="shared" si="3"/>
        <v>-189</v>
      </c>
      <c r="K61">
        <f t="shared" si="3"/>
        <v>-189</v>
      </c>
      <c r="L61">
        <f t="shared" si="3"/>
        <v>189</v>
      </c>
      <c r="M61">
        <f t="shared" si="3"/>
        <v>189</v>
      </c>
      <c r="N61">
        <f t="shared" si="3"/>
        <v>189</v>
      </c>
      <c r="O61">
        <f t="shared" si="3"/>
        <v>-189</v>
      </c>
      <c r="P61">
        <f t="shared" si="3"/>
        <v>-189</v>
      </c>
      <c r="Q61">
        <f t="shared" si="3"/>
        <v>189</v>
      </c>
    </row>
    <row r="62" spans="1:17" ht="17" thickBot="1" x14ac:dyDescent="0.5">
      <c r="A62" s="4" t="s">
        <v>15</v>
      </c>
      <c r="B62" s="4">
        <v>154</v>
      </c>
      <c r="C62">
        <f t="shared" si="3"/>
        <v>154</v>
      </c>
      <c r="D62">
        <f t="shared" si="3"/>
        <v>-154</v>
      </c>
      <c r="E62">
        <f t="shared" si="3"/>
        <v>154</v>
      </c>
      <c r="F62">
        <f t="shared" si="3"/>
        <v>154</v>
      </c>
      <c r="G62">
        <f t="shared" si="3"/>
        <v>-154</v>
      </c>
      <c r="H62">
        <f t="shared" si="3"/>
        <v>154</v>
      </c>
      <c r="I62">
        <f t="shared" si="3"/>
        <v>154</v>
      </c>
      <c r="J62">
        <f t="shared" si="3"/>
        <v>-154</v>
      </c>
      <c r="K62">
        <f t="shared" si="3"/>
        <v>-154</v>
      </c>
      <c r="L62">
        <f t="shared" si="3"/>
        <v>154</v>
      </c>
      <c r="M62">
        <f t="shared" si="3"/>
        <v>-154</v>
      </c>
      <c r="N62">
        <f t="shared" si="3"/>
        <v>-154</v>
      </c>
      <c r="O62">
        <f t="shared" si="3"/>
        <v>154</v>
      </c>
      <c r="P62">
        <f t="shared" si="3"/>
        <v>-154</v>
      </c>
      <c r="Q62">
        <f t="shared" si="3"/>
        <v>-154</v>
      </c>
    </row>
    <row r="63" spans="1:17" ht="17" thickBot="1" x14ac:dyDescent="0.5">
      <c r="A63" s="4" t="s">
        <v>16</v>
      </c>
      <c r="B63" s="4">
        <v>171</v>
      </c>
      <c r="C63">
        <f t="shared" si="3"/>
        <v>-171</v>
      </c>
      <c r="D63">
        <f t="shared" si="3"/>
        <v>171</v>
      </c>
      <c r="E63">
        <f t="shared" si="3"/>
        <v>171</v>
      </c>
      <c r="F63">
        <f t="shared" si="3"/>
        <v>171</v>
      </c>
      <c r="G63">
        <f t="shared" si="3"/>
        <v>-171</v>
      </c>
      <c r="H63">
        <f t="shared" si="3"/>
        <v>-171</v>
      </c>
      <c r="I63">
        <f t="shared" si="3"/>
        <v>-171</v>
      </c>
      <c r="J63">
        <f t="shared" si="3"/>
        <v>171</v>
      </c>
      <c r="K63">
        <f t="shared" si="3"/>
        <v>171</v>
      </c>
      <c r="L63">
        <f t="shared" si="3"/>
        <v>171</v>
      </c>
      <c r="M63">
        <f t="shared" si="3"/>
        <v>-171</v>
      </c>
      <c r="N63">
        <f t="shared" si="3"/>
        <v>-171</v>
      </c>
      <c r="O63">
        <f t="shared" si="3"/>
        <v>-171</v>
      </c>
      <c r="P63">
        <f t="shared" si="3"/>
        <v>171</v>
      </c>
      <c r="Q63">
        <f t="shared" si="3"/>
        <v>-171</v>
      </c>
    </row>
    <row r="64" spans="1:17" ht="17" thickBot="1" x14ac:dyDescent="0.5">
      <c r="A64" s="4" t="s">
        <v>17</v>
      </c>
      <c r="B64" s="4">
        <v>160</v>
      </c>
      <c r="C64">
        <f t="shared" si="3"/>
        <v>160</v>
      </c>
      <c r="D64">
        <f t="shared" si="3"/>
        <v>160</v>
      </c>
      <c r="E64">
        <f t="shared" si="3"/>
        <v>160</v>
      </c>
      <c r="F64">
        <f t="shared" si="3"/>
        <v>160</v>
      </c>
      <c r="G64">
        <f t="shared" si="3"/>
        <v>160</v>
      </c>
      <c r="H64">
        <f t="shared" si="3"/>
        <v>160</v>
      </c>
      <c r="I64">
        <f t="shared" si="3"/>
        <v>160</v>
      </c>
      <c r="J64">
        <f t="shared" si="3"/>
        <v>160</v>
      </c>
      <c r="K64">
        <f t="shared" si="3"/>
        <v>160</v>
      </c>
      <c r="L64">
        <f t="shared" si="3"/>
        <v>160</v>
      </c>
      <c r="M64">
        <f t="shared" si="3"/>
        <v>160</v>
      </c>
      <c r="N64">
        <f t="shared" si="3"/>
        <v>160</v>
      </c>
      <c r="O64">
        <f t="shared" si="3"/>
        <v>160</v>
      </c>
      <c r="P64">
        <f t="shared" si="3"/>
        <v>160</v>
      </c>
      <c r="Q64">
        <f t="shared" si="3"/>
        <v>160</v>
      </c>
    </row>
    <row r="65" spans="1:20" ht="17" thickBot="1" x14ac:dyDescent="0.5"/>
    <row r="66" spans="1:20" ht="17" thickBot="1" x14ac:dyDescent="0.5">
      <c r="A66" s="10"/>
      <c r="C66" s="4" t="s">
        <v>19</v>
      </c>
      <c r="D66" s="4" t="s">
        <v>20</v>
      </c>
      <c r="E66" s="4" t="s">
        <v>21</v>
      </c>
      <c r="F66" s="4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4" t="s">
        <v>28</v>
      </c>
      <c r="M66" s="4" t="s">
        <v>29</v>
      </c>
      <c r="N66" s="4" t="s">
        <v>30</v>
      </c>
      <c r="O66" s="4" t="s">
        <v>31</v>
      </c>
      <c r="P66" s="4" t="s">
        <v>32</v>
      </c>
      <c r="Q66" s="4" t="s">
        <v>33</v>
      </c>
      <c r="S66" t="s">
        <v>42</v>
      </c>
      <c r="T66">
        <f>SUMSQ(B3:C10,E3:F10)</f>
        <v>220915</v>
      </c>
    </row>
    <row r="67" spans="1:20" x14ac:dyDescent="0.45">
      <c r="A67" s="10"/>
      <c r="B67" s="10" t="s">
        <v>37</v>
      </c>
      <c r="C67">
        <f>SUM(C49:C64)</f>
        <v>-145</v>
      </c>
      <c r="D67">
        <f t="shared" ref="D67:Q67" si="4">SUM(D49:D64)</f>
        <v>-21</v>
      </c>
      <c r="E67">
        <f t="shared" si="4"/>
        <v>-43</v>
      </c>
      <c r="F67">
        <f t="shared" si="4"/>
        <v>63</v>
      </c>
      <c r="G67">
        <f t="shared" si="4"/>
        <v>65</v>
      </c>
      <c r="H67">
        <f t="shared" si="4"/>
        <v>11</v>
      </c>
      <c r="I67">
        <f t="shared" si="4"/>
        <v>-35</v>
      </c>
      <c r="J67">
        <f t="shared" si="4"/>
        <v>-9</v>
      </c>
      <c r="K67">
        <f t="shared" si="4"/>
        <v>-3</v>
      </c>
      <c r="L67">
        <f t="shared" si="4"/>
        <v>27</v>
      </c>
      <c r="M67">
        <f t="shared" si="4"/>
        <v>-83</v>
      </c>
      <c r="N67">
        <f t="shared" si="4"/>
        <v>75</v>
      </c>
      <c r="O67">
        <f t="shared" si="4"/>
        <v>-15</v>
      </c>
      <c r="P67">
        <f t="shared" si="4"/>
        <v>-15</v>
      </c>
      <c r="Q67">
        <f t="shared" si="4"/>
        <v>39</v>
      </c>
      <c r="S67" t="s">
        <v>43</v>
      </c>
      <c r="T67">
        <f>SUM(B3:C10,E3:F10)^2</f>
        <v>7017201</v>
      </c>
    </row>
    <row r="68" spans="1:20" x14ac:dyDescent="0.45">
      <c r="A68" s="10"/>
      <c r="B68" t="s">
        <v>38</v>
      </c>
      <c r="C68">
        <f>(2^(4-1))*(2)</f>
        <v>16</v>
      </c>
      <c r="D68">
        <f t="shared" ref="D68:Q68" si="5">(2^(4-1))*(2)</f>
        <v>16</v>
      </c>
      <c r="E68">
        <f t="shared" si="5"/>
        <v>16</v>
      </c>
      <c r="F68">
        <f t="shared" si="5"/>
        <v>16</v>
      </c>
      <c r="G68">
        <f t="shared" si="5"/>
        <v>16</v>
      </c>
      <c r="H68">
        <f t="shared" si="5"/>
        <v>16</v>
      </c>
      <c r="I68">
        <f t="shared" si="5"/>
        <v>16</v>
      </c>
      <c r="J68">
        <f t="shared" si="5"/>
        <v>16</v>
      </c>
      <c r="K68">
        <f t="shared" si="5"/>
        <v>16</v>
      </c>
      <c r="L68">
        <f t="shared" si="5"/>
        <v>16</v>
      </c>
      <c r="M68">
        <f t="shared" si="5"/>
        <v>16</v>
      </c>
      <c r="N68">
        <f t="shared" si="5"/>
        <v>16</v>
      </c>
      <c r="O68">
        <f t="shared" si="5"/>
        <v>16</v>
      </c>
      <c r="P68">
        <f t="shared" si="5"/>
        <v>16</v>
      </c>
      <c r="Q68">
        <f t="shared" si="5"/>
        <v>16</v>
      </c>
      <c r="S68" t="s">
        <v>45</v>
      </c>
      <c r="T68">
        <f>2^4*2</f>
        <v>32</v>
      </c>
    </row>
    <row r="69" spans="1:20" x14ac:dyDescent="0.45">
      <c r="A69" s="10"/>
      <c r="B69" t="s">
        <v>39</v>
      </c>
      <c r="C69" s="11">
        <f>C67/C68</f>
        <v>-9.0625</v>
      </c>
      <c r="D69" s="11">
        <f t="shared" ref="D69:Q69" si="6">D67/D68</f>
        <v>-1.3125</v>
      </c>
      <c r="E69" s="11">
        <f t="shared" si="6"/>
        <v>-2.6875</v>
      </c>
      <c r="F69" s="11">
        <f t="shared" si="6"/>
        <v>3.9375</v>
      </c>
      <c r="G69" s="11">
        <f t="shared" si="6"/>
        <v>4.0625</v>
      </c>
      <c r="H69" s="11">
        <f t="shared" si="6"/>
        <v>0.6875</v>
      </c>
      <c r="I69" s="11">
        <f t="shared" si="6"/>
        <v>-2.1875</v>
      </c>
      <c r="J69" s="11">
        <f t="shared" si="6"/>
        <v>-0.5625</v>
      </c>
      <c r="K69" s="11">
        <f t="shared" si="6"/>
        <v>-0.1875</v>
      </c>
      <c r="L69" s="11">
        <f t="shared" si="6"/>
        <v>1.6875</v>
      </c>
      <c r="M69" s="11">
        <f t="shared" si="6"/>
        <v>-5.1875</v>
      </c>
      <c r="N69" s="11">
        <f t="shared" si="6"/>
        <v>4.6875</v>
      </c>
      <c r="O69" s="11">
        <f t="shared" si="6"/>
        <v>-0.9375</v>
      </c>
      <c r="P69" s="11">
        <f t="shared" si="6"/>
        <v>-0.9375</v>
      </c>
      <c r="Q69" s="11">
        <f t="shared" si="6"/>
        <v>2.4375</v>
      </c>
      <c r="S69" t="s">
        <v>44</v>
      </c>
      <c r="T69">
        <f>T66-(T67/T68)</f>
        <v>1627.46875</v>
      </c>
    </row>
    <row r="70" spans="1:20" x14ac:dyDescent="0.45">
      <c r="A70" s="10"/>
      <c r="B70" t="s">
        <v>41</v>
      </c>
      <c r="C70">
        <f>(2^4)*2</f>
        <v>32</v>
      </c>
      <c r="D70">
        <f t="shared" ref="D70:Q70" si="7">(2^4)*2</f>
        <v>32</v>
      </c>
      <c r="E70">
        <f t="shared" si="7"/>
        <v>32</v>
      </c>
      <c r="F70">
        <f t="shared" si="7"/>
        <v>32</v>
      </c>
      <c r="G70">
        <f t="shared" si="7"/>
        <v>32</v>
      </c>
      <c r="H70">
        <f t="shared" si="7"/>
        <v>32</v>
      </c>
      <c r="I70">
        <f t="shared" si="7"/>
        <v>32</v>
      </c>
      <c r="J70">
        <f t="shared" si="7"/>
        <v>32</v>
      </c>
      <c r="K70">
        <f t="shared" si="7"/>
        <v>32</v>
      </c>
      <c r="L70">
        <f t="shared" si="7"/>
        <v>32</v>
      </c>
      <c r="M70">
        <f t="shared" si="7"/>
        <v>32</v>
      </c>
      <c r="N70">
        <f t="shared" si="7"/>
        <v>32</v>
      </c>
      <c r="O70">
        <f t="shared" si="7"/>
        <v>32</v>
      </c>
      <c r="P70">
        <f t="shared" si="7"/>
        <v>32</v>
      </c>
      <c r="Q70">
        <f t="shared" si="7"/>
        <v>32</v>
      </c>
      <c r="S70" t="s">
        <v>46</v>
      </c>
      <c r="T70" s="12">
        <f>T69-SUM(C71:Q71)</f>
        <v>122.5</v>
      </c>
    </row>
    <row r="71" spans="1:20" x14ac:dyDescent="0.45">
      <c r="A71" s="10"/>
      <c r="B71" t="s">
        <v>40</v>
      </c>
      <c r="C71" s="11">
        <f>(C67^2)/C70</f>
        <v>657.03125</v>
      </c>
      <c r="D71" s="11">
        <f t="shared" ref="D71:Q71" si="8">(D67^2)/D70</f>
        <v>13.78125</v>
      </c>
      <c r="E71" s="11">
        <f t="shared" si="8"/>
        <v>57.78125</v>
      </c>
      <c r="F71" s="11">
        <f t="shared" si="8"/>
        <v>124.03125</v>
      </c>
      <c r="G71" s="11">
        <f t="shared" si="8"/>
        <v>132.03125</v>
      </c>
      <c r="H71" s="11">
        <f t="shared" si="8"/>
        <v>3.78125</v>
      </c>
      <c r="I71" s="11">
        <f t="shared" si="8"/>
        <v>38.28125</v>
      </c>
      <c r="J71" s="11">
        <f t="shared" si="8"/>
        <v>2.53125</v>
      </c>
      <c r="K71" s="11">
        <f t="shared" si="8"/>
        <v>0.28125</v>
      </c>
      <c r="L71" s="11">
        <f t="shared" si="8"/>
        <v>22.78125</v>
      </c>
      <c r="M71" s="11">
        <f t="shared" si="8"/>
        <v>215.28125</v>
      </c>
      <c r="N71" s="11">
        <f t="shared" si="8"/>
        <v>175.78125</v>
      </c>
      <c r="O71" s="11">
        <f t="shared" si="8"/>
        <v>7.03125</v>
      </c>
      <c r="P71" s="11">
        <f t="shared" si="8"/>
        <v>7.03125</v>
      </c>
      <c r="Q71" s="11">
        <f t="shared" si="8"/>
        <v>47.53125</v>
      </c>
      <c r="S71" t="s">
        <v>47</v>
      </c>
      <c r="T71">
        <f>T68-1-SUM(C72:Q72)</f>
        <v>16</v>
      </c>
    </row>
    <row r="72" spans="1:20" x14ac:dyDescent="0.45">
      <c r="A72" s="10"/>
      <c r="B72" t="s">
        <v>47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S72" t="s">
        <v>48</v>
      </c>
      <c r="T72">
        <f>T70/T71</f>
        <v>7.65625</v>
      </c>
    </row>
    <row r="73" spans="1:20" x14ac:dyDescent="0.45">
      <c r="A73" s="10"/>
      <c r="B73" t="s">
        <v>48</v>
      </c>
      <c r="C73" s="11">
        <f>C71/C72</f>
        <v>657.03125</v>
      </c>
      <c r="D73" s="11">
        <f t="shared" ref="D73:Q73" si="9">D71/D72</f>
        <v>13.78125</v>
      </c>
      <c r="E73" s="11">
        <f t="shared" si="9"/>
        <v>57.78125</v>
      </c>
      <c r="F73" s="11">
        <f t="shared" si="9"/>
        <v>124.03125</v>
      </c>
      <c r="G73" s="11">
        <f t="shared" si="9"/>
        <v>132.03125</v>
      </c>
      <c r="H73" s="11">
        <f t="shared" si="9"/>
        <v>3.78125</v>
      </c>
      <c r="I73" s="11">
        <f t="shared" si="9"/>
        <v>38.28125</v>
      </c>
      <c r="J73" s="11">
        <f t="shared" si="9"/>
        <v>2.53125</v>
      </c>
      <c r="K73" s="11">
        <f t="shared" si="9"/>
        <v>0.28125</v>
      </c>
      <c r="L73" s="11">
        <f t="shared" si="9"/>
        <v>22.78125</v>
      </c>
      <c r="M73" s="11">
        <f t="shared" si="9"/>
        <v>215.28125</v>
      </c>
      <c r="N73" s="11">
        <f t="shared" si="9"/>
        <v>175.78125</v>
      </c>
      <c r="O73" s="11">
        <f t="shared" si="9"/>
        <v>7.03125</v>
      </c>
      <c r="P73" s="11">
        <f t="shared" si="9"/>
        <v>7.03125</v>
      </c>
      <c r="Q73" s="11">
        <f t="shared" si="9"/>
        <v>47.53125</v>
      </c>
    </row>
    <row r="74" spans="1:20" x14ac:dyDescent="0.45">
      <c r="A74" s="10"/>
      <c r="B74" t="s">
        <v>49</v>
      </c>
      <c r="C74" s="11">
        <f>C73/$T$72</f>
        <v>85.816326530612244</v>
      </c>
      <c r="D74" s="11">
        <f t="shared" ref="D74:Q74" si="10">D73/$T$72</f>
        <v>1.8</v>
      </c>
      <c r="E74" s="11">
        <f t="shared" si="10"/>
        <v>7.5469387755102044</v>
      </c>
      <c r="F74" s="11">
        <f t="shared" si="10"/>
        <v>16.2</v>
      </c>
      <c r="G74" s="11">
        <f t="shared" si="10"/>
        <v>17.244897959183675</v>
      </c>
      <c r="H74" s="11">
        <f t="shared" si="10"/>
        <v>0.49387755102040815</v>
      </c>
      <c r="I74" s="11">
        <f t="shared" si="10"/>
        <v>5</v>
      </c>
      <c r="J74" s="11">
        <f t="shared" si="10"/>
        <v>0.33061224489795921</v>
      </c>
      <c r="K74" s="11">
        <f t="shared" si="10"/>
        <v>3.6734693877551024E-2</v>
      </c>
      <c r="L74" s="11">
        <f t="shared" si="10"/>
        <v>2.9755102040816328</v>
      </c>
      <c r="M74" s="11">
        <f t="shared" si="10"/>
        <v>28.118367346938776</v>
      </c>
      <c r="N74" s="11">
        <f t="shared" si="10"/>
        <v>22.959183673469386</v>
      </c>
      <c r="O74" s="11">
        <f t="shared" si="10"/>
        <v>0.91836734693877553</v>
      </c>
      <c r="P74" s="11">
        <f t="shared" si="10"/>
        <v>0.91836734693877553</v>
      </c>
      <c r="Q74" s="11">
        <f t="shared" si="10"/>
        <v>6.2081632653061227</v>
      </c>
    </row>
    <row r="75" spans="1:20" x14ac:dyDescent="0.45">
      <c r="A75" s="10"/>
      <c r="B75" t="s">
        <v>50</v>
      </c>
      <c r="C75">
        <f>_xlfn.F.INV(0.95,1,16)</f>
        <v>4.4939984776663584</v>
      </c>
      <c r="D75">
        <f t="shared" ref="D75:Q75" si="11">_xlfn.F.INV(0.95,1,16)</f>
        <v>4.4939984776663584</v>
      </c>
      <c r="E75">
        <f t="shared" si="11"/>
        <v>4.4939984776663584</v>
      </c>
      <c r="F75">
        <f t="shared" si="11"/>
        <v>4.4939984776663584</v>
      </c>
      <c r="G75">
        <f t="shared" si="11"/>
        <v>4.4939984776663584</v>
      </c>
      <c r="H75">
        <f t="shared" si="11"/>
        <v>4.4939984776663584</v>
      </c>
      <c r="I75">
        <f t="shared" si="11"/>
        <v>4.4939984776663584</v>
      </c>
      <c r="J75">
        <f t="shared" si="11"/>
        <v>4.4939984776663584</v>
      </c>
      <c r="K75">
        <f t="shared" si="11"/>
        <v>4.4939984776663584</v>
      </c>
      <c r="L75">
        <f t="shared" si="11"/>
        <v>4.4939984776663584</v>
      </c>
      <c r="M75">
        <f t="shared" si="11"/>
        <v>4.4939984776663584</v>
      </c>
      <c r="N75">
        <f t="shared" si="11"/>
        <v>4.4939984776663584</v>
      </c>
      <c r="O75">
        <f t="shared" si="11"/>
        <v>4.4939984776663584</v>
      </c>
      <c r="P75">
        <f t="shared" si="11"/>
        <v>4.4939984776663584</v>
      </c>
      <c r="Q75">
        <f t="shared" si="11"/>
        <v>4.4939984776663584</v>
      </c>
    </row>
    <row r="76" spans="1:20" x14ac:dyDescent="0.45">
      <c r="A76" s="10"/>
      <c r="B76" t="s">
        <v>51</v>
      </c>
      <c r="C76" t="str">
        <f>IF(C74&gt;C75,"Reject H0","Accept H0")</f>
        <v>Reject H0</v>
      </c>
      <c r="D76" t="str">
        <f t="shared" ref="D76:Q76" si="12">IF(D74&gt;D75,"Reject H0","Accept H0")</f>
        <v>Accept H0</v>
      </c>
      <c r="E76" t="str">
        <f t="shared" si="12"/>
        <v>Reject H0</v>
      </c>
      <c r="F76" t="str">
        <f t="shared" si="12"/>
        <v>Reject H0</v>
      </c>
      <c r="G76" t="str">
        <f t="shared" si="12"/>
        <v>Reject H0</v>
      </c>
      <c r="H76" t="str">
        <f t="shared" si="12"/>
        <v>Accept H0</v>
      </c>
      <c r="I76" t="str">
        <f t="shared" si="12"/>
        <v>Reject H0</v>
      </c>
      <c r="J76" t="str">
        <f t="shared" si="12"/>
        <v>Accept H0</v>
      </c>
      <c r="K76" t="str">
        <f t="shared" si="12"/>
        <v>Accept H0</v>
      </c>
      <c r="L76" t="str">
        <f t="shared" si="12"/>
        <v>Accept H0</v>
      </c>
      <c r="M76" t="str">
        <f t="shared" si="12"/>
        <v>Reject H0</v>
      </c>
      <c r="N76" t="str">
        <f t="shared" si="12"/>
        <v>Reject H0</v>
      </c>
      <c r="O76" t="str">
        <f t="shared" si="12"/>
        <v>Accept H0</v>
      </c>
      <c r="P76" t="str">
        <f t="shared" si="12"/>
        <v>Accept H0</v>
      </c>
      <c r="Q76" t="str">
        <f t="shared" si="12"/>
        <v>Reject H0</v>
      </c>
    </row>
    <row r="77" spans="1:20" x14ac:dyDescent="0.45">
      <c r="A77" s="10"/>
      <c r="B77" t="s">
        <v>52</v>
      </c>
      <c r="C77" t="str">
        <f>IF(C76 = "Reject H0","มีผล","ไม่มีผล")</f>
        <v>มีผล</v>
      </c>
      <c r="D77" t="str">
        <f t="shared" ref="D77:Q77" si="13">IF(D76 = "Reject H0","มีผล","ไม่มีผล")</f>
        <v>ไม่มีผล</v>
      </c>
      <c r="E77" t="str">
        <f t="shared" si="13"/>
        <v>มีผล</v>
      </c>
      <c r="F77" t="str">
        <f t="shared" si="13"/>
        <v>มีผล</v>
      </c>
      <c r="G77" t="str">
        <f t="shared" si="13"/>
        <v>มีผล</v>
      </c>
      <c r="H77" t="str">
        <f t="shared" si="13"/>
        <v>ไม่มีผล</v>
      </c>
      <c r="I77" t="str">
        <f t="shared" si="13"/>
        <v>มีผล</v>
      </c>
      <c r="J77" t="str">
        <f t="shared" si="13"/>
        <v>ไม่มีผล</v>
      </c>
      <c r="K77" t="str">
        <f t="shared" si="13"/>
        <v>ไม่มีผล</v>
      </c>
      <c r="L77" t="str">
        <f t="shared" si="13"/>
        <v>ไม่มีผล</v>
      </c>
      <c r="M77" t="str">
        <f t="shared" si="13"/>
        <v>มีผล</v>
      </c>
      <c r="N77" t="str">
        <f t="shared" si="13"/>
        <v>มีผล</v>
      </c>
      <c r="O77" t="str">
        <f t="shared" si="13"/>
        <v>ไม่มีผล</v>
      </c>
      <c r="P77" t="str">
        <f t="shared" si="13"/>
        <v>ไม่มีผล</v>
      </c>
      <c r="Q77" t="str">
        <f t="shared" si="13"/>
        <v>มีผล</v>
      </c>
    </row>
    <row r="78" spans="1:20" x14ac:dyDescent="0.45">
      <c r="A78" s="10"/>
      <c r="B78" t="s">
        <v>53</v>
      </c>
      <c r="C78">
        <f>IF(ABS(C69)&gt;2,C69,"-")</f>
        <v>-9.0625</v>
      </c>
      <c r="D78" t="str">
        <f t="shared" ref="D78:Q78" si="14">IF(ABS(D69)&gt;2,D69,"-")</f>
        <v>-</v>
      </c>
      <c r="E78">
        <f t="shared" si="14"/>
        <v>-2.6875</v>
      </c>
      <c r="F78">
        <f t="shared" si="14"/>
        <v>3.9375</v>
      </c>
      <c r="G78">
        <f t="shared" si="14"/>
        <v>4.0625</v>
      </c>
      <c r="H78" t="str">
        <f t="shared" si="14"/>
        <v>-</v>
      </c>
      <c r="I78">
        <f t="shared" si="14"/>
        <v>-2.1875</v>
      </c>
      <c r="J78" t="str">
        <f t="shared" si="14"/>
        <v>-</v>
      </c>
      <c r="K78" t="str">
        <f t="shared" si="14"/>
        <v>-</v>
      </c>
      <c r="L78" t="str">
        <f t="shared" si="14"/>
        <v>-</v>
      </c>
      <c r="M78">
        <f t="shared" si="14"/>
        <v>-5.1875</v>
      </c>
      <c r="N78">
        <f t="shared" si="14"/>
        <v>4.6875</v>
      </c>
      <c r="O78" t="str">
        <f t="shared" si="14"/>
        <v>-</v>
      </c>
      <c r="P78" t="str">
        <f t="shared" si="14"/>
        <v>-</v>
      </c>
      <c r="Q78">
        <f t="shared" si="14"/>
        <v>2.4375</v>
      </c>
    </row>
    <row r="79" spans="1:20" x14ac:dyDescent="0.45">
      <c r="A79" s="10"/>
    </row>
    <row r="80" spans="1:20" x14ac:dyDescent="0.45">
      <c r="A80" s="10"/>
    </row>
  </sheetData>
  <mergeCells count="4">
    <mergeCell ref="A1:A2"/>
    <mergeCell ref="D1:D2"/>
    <mergeCell ref="B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3213-724F-471C-B731-4D367E69F529}">
  <dimension ref="A1:Z83"/>
  <sheetViews>
    <sheetView tabSelected="1" topLeftCell="E64" zoomScale="99" workbookViewId="0">
      <selection activeCell="L84" sqref="L84"/>
    </sheetView>
  </sheetViews>
  <sheetFormatPr defaultRowHeight="16.5" x14ac:dyDescent="0.45"/>
  <cols>
    <col min="1" max="2" width="8.6640625" style="1"/>
    <col min="3" max="3" width="11.9140625" style="1" bestFit="1" customWidth="1"/>
    <col min="4" max="17" width="10.1640625" style="1" bestFit="1" customWidth="1"/>
    <col min="18" max="16384" width="8.6640625" style="1"/>
  </cols>
  <sheetData>
    <row r="1" spans="1:26" x14ac:dyDescent="0.45">
      <c r="A1" s="6" t="s">
        <v>54</v>
      </c>
      <c r="B1" s="6"/>
      <c r="C1" s="6"/>
      <c r="D1" s="7"/>
      <c r="E1" s="2" t="s">
        <v>57</v>
      </c>
      <c r="F1" s="2"/>
      <c r="G1" s="2"/>
      <c r="H1" s="2"/>
    </row>
    <row r="2" spans="1:26" x14ac:dyDescent="0.45">
      <c r="A2" s="6" t="s">
        <v>55</v>
      </c>
      <c r="B2" s="7"/>
      <c r="C2" s="6" t="s">
        <v>56</v>
      </c>
      <c r="D2" s="7"/>
      <c r="E2" s="13" t="s">
        <v>55</v>
      </c>
      <c r="F2" s="7"/>
      <c r="G2" s="2" t="s">
        <v>56</v>
      </c>
      <c r="H2" s="2"/>
      <c r="K2" s="1" t="s">
        <v>36</v>
      </c>
      <c r="M2" s="1" t="s">
        <v>36</v>
      </c>
    </row>
    <row r="3" spans="1:26" x14ac:dyDescent="0.45">
      <c r="A3" s="8">
        <v>1</v>
      </c>
      <c r="B3" s="9">
        <v>17.100000000000001</v>
      </c>
      <c r="C3" s="8" t="s">
        <v>1</v>
      </c>
      <c r="D3" s="9">
        <v>15.5</v>
      </c>
      <c r="E3" s="14">
        <v>1</v>
      </c>
      <c r="F3" s="9">
        <v>18.7</v>
      </c>
      <c r="G3" s="3" t="s">
        <v>1</v>
      </c>
      <c r="H3" s="3">
        <v>17</v>
      </c>
      <c r="J3" s="8" t="s">
        <v>2</v>
      </c>
      <c r="K3" s="1">
        <f>B3+F3</f>
        <v>35.799999999999997</v>
      </c>
      <c r="L3" s="3" t="s">
        <v>14</v>
      </c>
      <c r="M3" s="1">
        <f>B4+H6</f>
        <v>34.400000000000006</v>
      </c>
    </row>
    <row r="4" spans="1:26" x14ac:dyDescent="0.45">
      <c r="A4" s="8" t="s">
        <v>10</v>
      </c>
      <c r="B4" s="9">
        <v>16.8</v>
      </c>
      <c r="C4" s="8" t="s">
        <v>3</v>
      </c>
      <c r="D4" s="9">
        <v>14.8</v>
      </c>
      <c r="E4" s="14" t="s">
        <v>4</v>
      </c>
      <c r="F4" s="9">
        <v>18.600000000000001</v>
      </c>
      <c r="G4" s="3" t="s">
        <v>3</v>
      </c>
      <c r="H4" s="3">
        <v>17.100000000000001</v>
      </c>
      <c r="J4" s="8" t="s">
        <v>1</v>
      </c>
      <c r="K4" s="1">
        <f>D3+H3</f>
        <v>32.5</v>
      </c>
      <c r="L4" s="3" t="s">
        <v>11</v>
      </c>
      <c r="M4" s="1">
        <f>D6+F6</f>
        <v>35.9</v>
      </c>
    </row>
    <row r="5" spans="1:26" x14ac:dyDescent="0.45">
      <c r="A5" s="8" t="s">
        <v>4</v>
      </c>
      <c r="B5" s="9">
        <v>16.399999999999999</v>
      </c>
      <c r="C5" s="8" t="s">
        <v>5</v>
      </c>
      <c r="D5" s="9">
        <v>16.2</v>
      </c>
      <c r="E5" s="14" t="s">
        <v>6</v>
      </c>
      <c r="F5" s="9">
        <v>18.5</v>
      </c>
      <c r="G5" s="3" t="s">
        <v>5</v>
      </c>
      <c r="H5" s="3">
        <v>17.2</v>
      </c>
      <c r="J5" s="8" t="s">
        <v>3</v>
      </c>
      <c r="K5" s="1">
        <f>D4+H4</f>
        <v>31.900000000000002</v>
      </c>
      <c r="L5" s="3" t="s">
        <v>12</v>
      </c>
      <c r="M5" s="1">
        <f>D7+F8</f>
        <v>35.299999999999997</v>
      </c>
    </row>
    <row r="6" spans="1:26" x14ac:dyDescent="0.45">
      <c r="A6" s="8" t="s">
        <v>6</v>
      </c>
      <c r="B6" s="9">
        <v>17.2</v>
      </c>
      <c r="C6" s="8" t="s">
        <v>11</v>
      </c>
      <c r="D6" s="9">
        <v>17.2</v>
      </c>
      <c r="E6" s="14" t="s">
        <v>11</v>
      </c>
      <c r="F6" s="9">
        <v>18.7</v>
      </c>
      <c r="G6" s="3" t="s">
        <v>10</v>
      </c>
      <c r="H6" s="3">
        <v>17.600000000000001</v>
      </c>
      <c r="J6" s="8" t="s">
        <v>4</v>
      </c>
      <c r="K6" s="1">
        <f>B5+F4</f>
        <v>35</v>
      </c>
      <c r="L6" s="3" t="s">
        <v>13</v>
      </c>
      <c r="M6" s="1">
        <f>B8+H8</f>
        <v>36.400000000000006</v>
      </c>
    </row>
    <row r="7" spans="1:26" x14ac:dyDescent="0.45">
      <c r="A7" s="8" t="s">
        <v>7</v>
      </c>
      <c r="B7" s="9">
        <v>16.8</v>
      </c>
      <c r="C7" s="8" t="s">
        <v>12</v>
      </c>
      <c r="D7" s="9">
        <v>18.3</v>
      </c>
      <c r="E7" s="14" t="s">
        <v>7</v>
      </c>
      <c r="F7" s="9">
        <v>18.899999999999999</v>
      </c>
      <c r="G7" s="3" t="s">
        <v>8</v>
      </c>
      <c r="H7" s="3">
        <v>17.5</v>
      </c>
      <c r="J7" s="8" t="s">
        <v>5</v>
      </c>
      <c r="K7" s="1">
        <f>D5+H5</f>
        <v>33.4</v>
      </c>
      <c r="L7" s="3" t="s">
        <v>14</v>
      </c>
      <c r="M7" s="1">
        <f>D8+F9</f>
        <v>36</v>
      </c>
    </row>
    <row r="8" spans="1:26" x14ac:dyDescent="0.45">
      <c r="A8" s="8" t="s">
        <v>13</v>
      </c>
      <c r="B8" s="9">
        <v>18.100000000000001</v>
      </c>
      <c r="C8" s="8" t="s">
        <v>14</v>
      </c>
      <c r="D8" s="9">
        <v>17.3</v>
      </c>
      <c r="E8" s="14" t="s">
        <v>12</v>
      </c>
      <c r="F8" s="9">
        <v>17</v>
      </c>
      <c r="G8" s="3" t="s">
        <v>13</v>
      </c>
      <c r="H8" s="3">
        <v>18.3</v>
      </c>
      <c r="J8" s="8" t="s">
        <v>6</v>
      </c>
      <c r="K8" s="1">
        <f>B6+F5</f>
        <v>35.700000000000003</v>
      </c>
      <c r="L8" s="3" t="s">
        <v>15</v>
      </c>
      <c r="M8" s="1">
        <f>B9+H9</f>
        <v>37.5</v>
      </c>
    </row>
    <row r="9" spans="1:26" x14ac:dyDescent="0.45">
      <c r="A9" s="8" t="s">
        <v>15</v>
      </c>
      <c r="B9" s="9">
        <v>19.100000000000001</v>
      </c>
      <c r="C9" s="8" t="s">
        <v>8</v>
      </c>
      <c r="D9" s="9">
        <v>17.7</v>
      </c>
      <c r="E9" s="14" t="s">
        <v>14</v>
      </c>
      <c r="F9" s="9">
        <v>18.7</v>
      </c>
      <c r="G9" s="3" t="s">
        <v>15</v>
      </c>
      <c r="H9" s="3">
        <v>18.399999999999999</v>
      </c>
      <c r="J9" s="8" t="s">
        <v>7</v>
      </c>
      <c r="K9" s="1">
        <f>B7+F7</f>
        <v>35.700000000000003</v>
      </c>
      <c r="L9" s="3" t="s">
        <v>16</v>
      </c>
      <c r="M9" s="1">
        <f>B10+H10</f>
        <v>36.700000000000003</v>
      </c>
    </row>
    <row r="10" spans="1:26" x14ac:dyDescent="0.45">
      <c r="A10" s="8" t="s">
        <v>16</v>
      </c>
      <c r="B10" s="9">
        <v>18.399999999999999</v>
      </c>
      <c r="C10" s="8" t="s">
        <v>17</v>
      </c>
      <c r="D10" s="9">
        <v>19.2</v>
      </c>
      <c r="E10" s="14" t="s">
        <v>17</v>
      </c>
      <c r="F10" s="9">
        <v>19.8</v>
      </c>
      <c r="G10" s="3" t="s">
        <v>16</v>
      </c>
      <c r="H10" s="3">
        <v>18.3</v>
      </c>
      <c r="J10" s="8" t="s">
        <v>8</v>
      </c>
      <c r="K10" s="1">
        <f>D9+H7</f>
        <v>35.200000000000003</v>
      </c>
      <c r="L10" s="3" t="s">
        <v>17</v>
      </c>
      <c r="M10" s="1">
        <f>D10+F10</f>
        <v>39</v>
      </c>
    </row>
    <row r="11" spans="1:26" ht="17" thickBot="1" x14ac:dyDescent="0.5"/>
    <row r="12" spans="1:26" ht="17" thickBot="1" x14ac:dyDescent="0.5">
      <c r="A12" s="4" t="s">
        <v>18</v>
      </c>
      <c r="B12" s="4" t="s">
        <v>36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25</v>
      </c>
      <c r="J12" s="4" t="s">
        <v>26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31</v>
      </c>
      <c r="P12" s="4" t="s">
        <v>32</v>
      </c>
      <c r="Q12" s="4" t="s">
        <v>33</v>
      </c>
      <c r="R12" s="15"/>
      <c r="X12" s="15"/>
    </row>
    <row r="13" spans="1:26" ht="17" thickBot="1" x14ac:dyDescent="0.5">
      <c r="A13" s="4">
        <v>1</v>
      </c>
      <c r="B13" s="4">
        <f>K3</f>
        <v>35.799999999999997</v>
      </c>
      <c r="C13" s="5" t="s">
        <v>34</v>
      </c>
      <c r="D13" s="5" t="s">
        <v>34</v>
      </c>
      <c r="E13" s="5" t="s">
        <v>34</v>
      </c>
      <c r="F13" s="5" t="s">
        <v>34</v>
      </c>
      <c r="G13" s="5" t="s">
        <v>35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35</v>
      </c>
      <c r="R13" s="15"/>
      <c r="T13" s="15"/>
      <c r="V13" s="8"/>
      <c r="W13" s="15"/>
      <c r="Y13" s="3"/>
      <c r="Z13" s="3"/>
    </row>
    <row r="14" spans="1:26" ht="17" thickBot="1" x14ac:dyDescent="0.5">
      <c r="A14" s="4" t="s">
        <v>1</v>
      </c>
      <c r="B14" s="4">
        <f t="shared" ref="B14:B20" si="0">K4</f>
        <v>32.5</v>
      </c>
      <c r="C14" s="5" t="s">
        <v>35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5" t="s">
        <v>35</v>
      </c>
      <c r="P14" s="5" t="s">
        <v>34</v>
      </c>
      <c r="Q14" s="5" t="s">
        <v>34</v>
      </c>
      <c r="R14" s="15"/>
      <c r="T14" s="15"/>
      <c r="V14" s="8"/>
      <c r="W14" s="15"/>
    </row>
    <row r="15" spans="1:26" ht="17" thickBot="1" x14ac:dyDescent="0.5">
      <c r="A15" s="4" t="s">
        <v>3</v>
      </c>
      <c r="B15" s="4">
        <f t="shared" si="0"/>
        <v>31.900000000000002</v>
      </c>
      <c r="C15" s="5" t="s">
        <v>34</v>
      </c>
      <c r="D15" s="5" t="s">
        <v>35</v>
      </c>
      <c r="E15" s="5" t="s">
        <v>34</v>
      </c>
      <c r="F15" s="5" t="s">
        <v>34</v>
      </c>
      <c r="G15" s="5" t="s">
        <v>34</v>
      </c>
      <c r="H15" s="5" t="s">
        <v>35</v>
      </c>
      <c r="I15" s="5" t="s">
        <v>35</v>
      </c>
      <c r="J15" s="5" t="s">
        <v>34</v>
      </c>
      <c r="K15" s="5" t="s">
        <v>34</v>
      </c>
      <c r="L15" s="5" t="s">
        <v>35</v>
      </c>
      <c r="M15" s="5" t="s">
        <v>35</v>
      </c>
      <c r="N15" s="5" t="s">
        <v>35</v>
      </c>
      <c r="O15" s="5" t="s">
        <v>34</v>
      </c>
      <c r="P15" s="5" t="s">
        <v>35</v>
      </c>
      <c r="Q15" s="5" t="s">
        <v>34</v>
      </c>
      <c r="V15" s="8"/>
      <c r="W15" s="15"/>
      <c r="Y15" s="3"/>
      <c r="Z15" s="3"/>
    </row>
    <row r="16" spans="1:26" ht="17" thickBot="1" x14ac:dyDescent="0.5">
      <c r="A16" s="4" t="s">
        <v>4</v>
      </c>
      <c r="B16" s="4">
        <f t="shared" si="0"/>
        <v>35</v>
      </c>
      <c r="C16" s="5" t="s">
        <v>35</v>
      </c>
      <c r="D16" s="5" t="s">
        <v>35</v>
      </c>
      <c r="E16" s="5" t="s">
        <v>34</v>
      </c>
      <c r="F16" s="5" t="s">
        <v>34</v>
      </c>
      <c r="G16" s="5" t="s">
        <v>35</v>
      </c>
      <c r="H16" s="5" t="s">
        <v>34</v>
      </c>
      <c r="I16" s="5" t="s">
        <v>34</v>
      </c>
      <c r="J16" s="5" t="s">
        <v>34</v>
      </c>
      <c r="K16" s="5" t="s">
        <v>34</v>
      </c>
      <c r="L16" s="5" t="s">
        <v>35</v>
      </c>
      <c r="M16" s="5" t="s">
        <v>34</v>
      </c>
      <c r="N16" s="5" t="s">
        <v>34</v>
      </c>
      <c r="O16" s="5" t="s">
        <v>35</v>
      </c>
      <c r="P16" s="5" t="s">
        <v>35</v>
      </c>
      <c r="Q16" s="5" t="s">
        <v>35</v>
      </c>
      <c r="V16" s="8"/>
      <c r="W16" s="15"/>
    </row>
    <row r="17" spans="1:26" ht="17" thickBot="1" x14ac:dyDescent="0.5">
      <c r="A17" s="4" t="s">
        <v>5</v>
      </c>
      <c r="B17" s="4">
        <f t="shared" si="0"/>
        <v>33.4</v>
      </c>
      <c r="C17" s="5" t="s">
        <v>34</v>
      </c>
      <c r="D17" s="5" t="s">
        <v>34</v>
      </c>
      <c r="E17" s="5" t="s">
        <v>35</v>
      </c>
      <c r="F17" s="5" t="s">
        <v>34</v>
      </c>
      <c r="G17" s="5" t="s">
        <v>35</v>
      </c>
      <c r="H17" s="5" t="s">
        <v>34</v>
      </c>
      <c r="I17" s="5" t="s">
        <v>35</v>
      </c>
      <c r="J17" s="5" t="s">
        <v>34</v>
      </c>
      <c r="K17" s="5" t="s">
        <v>35</v>
      </c>
      <c r="L17" s="5" t="s">
        <v>34</v>
      </c>
      <c r="M17" s="5" t="s">
        <v>35</v>
      </c>
      <c r="N17" s="5" t="s">
        <v>34</v>
      </c>
      <c r="O17" s="5" t="s">
        <v>35</v>
      </c>
      <c r="P17" s="5" t="s">
        <v>35</v>
      </c>
      <c r="Q17" s="5" t="s">
        <v>34</v>
      </c>
      <c r="V17" s="8"/>
      <c r="W17" s="15"/>
      <c r="Y17" s="3"/>
      <c r="Z17" s="3"/>
    </row>
    <row r="18" spans="1:26" ht="17" thickBot="1" x14ac:dyDescent="0.5">
      <c r="A18" s="4" t="s">
        <v>6</v>
      </c>
      <c r="B18" s="4">
        <f t="shared" si="0"/>
        <v>35.700000000000003</v>
      </c>
      <c r="C18" s="5" t="s">
        <v>35</v>
      </c>
      <c r="D18" s="5" t="s">
        <v>34</v>
      </c>
      <c r="E18" s="5" t="s">
        <v>35</v>
      </c>
      <c r="F18" s="5" t="s">
        <v>34</v>
      </c>
      <c r="G18" s="5" t="s">
        <v>34</v>
      </c>
      <c r="H18" s="5" t="s">
        <v>35</v>
      </c>
      <c r="I18" s="5" t="s">
        <v>34</v>
      </c>
      <c r="J18" s="5" t="s">
        <v>34</v>
      </c>
      <c r="K18" s="5" t="s">
        <v>35</v>
      </c>
      <c r="L18" s="5" t="s">
        <v>34</v>
      </c>
      <c r="M18" s="5" t="s">
        <v>34</v>
      </c>
      <c r="N18" s="5" t="s">
        <v>35</v>
      </c>
      <c r="O18" s="5" t="s">
        <v>34</v>
      </c>
      <c r="P18" s="5" t="s">
        <v>35</v>
      </c>
      <c r="Q18" s="5" t="s">
        <v>35</v>
      </c>
      <c r="V18" s="8"/>
      <c r="W18" s="15"/>
    </row>
    <row r="19" spans="1:26" ht="17" thickBot="1" x14ac:dyDescent="0.5">
      <c r="A19" s="4" t="s">
        <v>7</v>
      </c>
      <c r="B19" s="4">
        <f t="shared" si="0"/>
        <v>35.700000000000003</v>
      </c>
      <c r="C19" s="5" t="s">
        <v>34</v>
      </c>
      <c r="D19" s="5" t="s">
        <v>35</v>
      </c>
      <c r="E19" s="5" t="s">
        <v>35</v>
      </c>
      <c r="F19" s="5" t="s">
        <v>34</v>
      </c>
      <c r="G19" s="5" t="s">
        <v>34</v>
      </c>
      <c r="H19" s="5" t="s">
        <v>34</v>
      </c>
      <c r="I19" s="5" t="s">
        <v>35</v>
      </c>
      <c r="J19" s="5" t="s">
        <v>35</v>
      </c>
      <c r="K19" s="5" t="s">
        <v>34</v>
      </c>
      <c r="L19" s="5" t="s">
        <v>34</v>
      </c>
      <c r="M19" s="5" t="s">
        <v>34</v>
      </c>
      <c r="N19" s="5" t="s">
        <v>35</v>
      </c>
      <c r="O19" s="5" t="s">
        <v>35</v>
      </c>
      <c r="P19" s="5" t="s">
        <v>34</v>
      </c>
      <c r="Q19" s="5" t="s">
        <v>35</v>
      </c>
      <c r="V19" s="8"/>
      <c r="W19" s="15"/>
      <c r="Y19" s="3"/>
      <c r="Z19" s="3"/>
    </row>
    <row r="20" spans="1:26" ht="17" thickBot="1" x14ac:dyDescent="0.5">
      <c r="A20" s="4" t="s">
        <v>8</v>
      </c>
      <c r="B20" s="4">
        <f t="shared" si="0"/>
        <v>35.200000000000003</v>
      </c>
      <c r="C20" s="5" t="s">
        <v>35</v>
      </c>
      <c r="D20" s="5" t="s">
        <v>35</v>
      </c>
      <c r="E20" s="5" t="s">
        <v>35</v>
      </c>
      <c r="F20" s="5" t="s">
        <v>34</v>
      </c>
      <c r="G20" s="5" t="s">
        <v>35</v>
      </c>
      <c r="H20" s="5" t="s">
        <v>35</v>
      </c>
      <c r="I20" s="5" t="s">
        <v>34</v>
      </c>
      <c r="J20" s="5" t="s">
        <v>35</v>
      </c>
      <c r="K20" s="5" t="s">
        <v>34</v>
      </c>
      <c r="L20" s="5" t="s">
        <v>34</v>
      </c>
      <c r="M20" s="5" t="s">
        <v>35</v>
      </c>
      <c r="N20" s="5" t="s">
        <v>34</v>
      </c>
      <c r="O20" s="5" t="s">
        <v>34</v>
      </c>
      <c r="P20" s="5" t="s">
        <v>34</v>
      </c>
      <c r="Q20" s="5" t="s">
        <v>34</v>
      </c>
      <c r="V20" s="8"/>
      <c r="W20" s="15"/>
    </row>
    <row r="21" spans="1:26" ht="17" thickBot="1" x14ac:dyDescent="0.5">
      <c r="A21" s="4" t="s">
        <v>10</v>
      </c>
      <c r="B21" s="4">
        <f>M3</f>
        <v>34.400000000000006</v>
      </c>
      <c r="C21" s="5" t="s">
        <v>34</v>
      </c>
      <c r="D21" s="5" t="s">
        <v>34</v>
      </c>
      <c r="E21" s="5" t="s">
        <v>34</v>
      </c>
      <c r="F21" s="5" t="s">
        <v>35</v>
      </c>
      <c r="G21" s="5" t="s">
        <v>35</v>
      </c>
      <c r="H21" s="5" t="s">
        <v>35</v>
      </c>
      <c r="I21" s="5" t="s">
        <v>34</v>
      </c>
      <c r="J21" s="5" t="s">
        <v>35</v>
      </c>
      <c r="K21" s="5" t="s">
        <v>34</v>
      </c>
      <c r="L21" s="5" t="s">
        <v>34</v>
      </c>
      <c r="M21" s="5" t="s">
        <v>34</v>
      </c>
      <c r="N21" s="5" t="s">
        <v>35</v>
      </c>
      <c r="O21" s="5" t="s">
        <v>35</v>
      </c>
      <c r="P21" s="5" t="s">
        <v>35</v>
      </c>
      <c r="Q21" s="5" t="s">
        <v>34</v>
      </c>
      <c r="V21" s="3"/>
      <c r="W21" s="15"/>
      <c r="Y21" s="3"/>
      <c r="Z21" s="3"/>
    </row>
    <row r="22" spans="1:26" ht="17" thickBot="1" x14ac:dyDescent="0.5">
      <c r="A22" s="4" t="s">
        <v>11</v>
      </c>
      <c r="B22" s="4">
        <f t="shared" ref="B22:B28" si="1">M4</f>
        <v>35.9</v>
      </c>
      <c r="C22" s="5" t="s">
        <v>35</v>
      </c>
      <c r="D22" s="5" t="s">
        <v>34</v>
      </c>
      <c r="E22" s="5" t="s">
        <v>34</v>
      </c>
      <c r="F22" s="5" t="s">
        <v>35</v>
      </c>
      <c r="G22" s="5" t="s">
        <v>34</v>
      </c>
      <c r="H22" s="5" t="s">
        <v>34</v>
      </c>
      <c r="I22" s="5" t="s">
        <v>35</v>
      </c>
      <c r="J22" s="5" t="s">
        <v>35</v>
      </c>
      <c r="K22" s="5" t="s">
        <v>34</v>
      </c>
      <c r="L22" s="5" t="s">
        <v>34</v>
      </c>
      <c r="M22" s="5" t="s">
        <v>35</v>
      </c>
      <c r="N22" s="5" t="s">
        <v>34</v>
      </c>
      <c r="O22" s="5" t="s">
        <v>34</v>
      </c>
      <c r="P22" s="5" t="s">
        <v>35</v>
      </c>
      <c r="Q22" s="5" t="s">
        <v>35</v>
      </c>
      <c r="V22" s="3"/>
      <c r="W22" s="15"/>
    </row>
    <row r="23" spans="1:26" ht="17" thickBot="1" x14ac:dyDescent="0.5">
      <c r="A23" s="4" t="s">
        <v>12</v>
      </c>
      <c r="B23" s="4">
        <f t="shared" si="1"/>
        <v>35.299999999999997</v>
      </c>
      <c r="C23" s="5" t="s">
        <v>34</v>
      </c>
      <c r="D23" s="5" t="s">
        <v>35</v>
      </c>
      <c r="E23" s="5" t="s">
        <v>34</v>
      </c>
      <c r="F23" s="5" t="s">
        <v>35</v>
      </c>
      <c r="G23" s="5" t="s">
        <v>34</v>
      </c>
      <c r="H23" s="5" t="s">
        <v>35</v>
      </c>
      <c r="I23" s="5" t="s">
        <v>34</v>
      </c>
      <c r="J23" s="5" t="s">
        <v>34</v>
      </c>
      <c r="K23" s="5" t="s">
        <v>35</v>
      </c>
      <c r="L23" s="5" t="s">
        <v>34</v>
      </c>
      <c r="M23" s="5" t="s">
        <v>35</v>
      </c>
      <c r="N23" s="5" t="s">
        <v>34</v>
      </c>
      <c r="O23" s="5" t="s">
        <v>35</v>
      </c>
      <c r="P23" s="5" t="s">
        <v>34</v>
      </c>
      <c r="Q23" s="5" t="s">
        <v>35</v>
      </c>
      <c r="V23" s="3"/>
      <c r="W23" s="15"/>
      <c r="Y23" s="3"/>
      <c r="Z23" s="3"/>
    </row>
    <row r="24" spans="1:26" ht="17" thickBot="1" x14ac:dyDescent="0.5">
      <c r="A24" s="4" t="s">
        <v>13</v>
      </c>
      <c r="B24" s="4">
        <f t="shared" si="1"/>
        <v>36.400000000000006</v>
      </c>
      <c r="C24" s="5" t="s">
        <v>35</v>
      </c>
      <c r="D24" s="5" t="s">
        <v>35</v>
      </c>
      <c r="E24" s="5" t="s">
        <v>34</v>
      </c>
      <c r="F24" s="5" t="s">
        <v>35</v>
      </c>
      <c r="G24" s="5" t="s">
        <v>35</v>
      </c>
      <c r="H24" s="5" t="s">
        <v>34</v>
      </c>
      <c r="I24" s="5" t="s">
        <v>35</v>
      </c>
      <c r="J24" s="5" t="s">
        <v>34</v>
      </c>
      <c r="K24" s="5" t="s">
        <v>35</v>
      </c>
      <c r="L24" s="5" t="s">
        <v>34</v>
      </c>
      <c r="M24" s="5" t="s">
        <v>34</v>
      </c>
      <c r="N24" s="5" t="s">
        <v>35</v>
      </c>
      <c r="O24" s="5" t="s">
        <v>34</v>
      </c>
      <c r="P24" s="5" t="s">
        <v>34</v>
      </c>
      <c r="Q24" s="5" t="s">
        <v>34</v>
      </c>
      <c r="V24" s="3"/>
      <c r="W24" s="15"/>
    </row>
    <row r="25" spans="1:26" ht="17" thickBot="1" x14ac:dyDescent="0.5">
      <c r="A25" s="4" t="s">
        <v>14</v>
      </c>
      <c r="B25" s="4">
        <f t="shared" si="1"/>
        <v>36</v>
      </c>
      <c r="C25" s="5" t="s">
        <v>34</v>
      </c>
      <c r="D25" s="5" t="s">
        <v>34</v>
      </c>
      <c r="E25" s="5" t="s">
        <v>35</v>
      </c>
      <c r="F25" s="5" t="s">
        <v>35</v>
      </c>
      <c r="G25" s="5" t="s">
        <v>35</v>
      </c>
      <c r="H25" s="5" t="s">
        <v>34</v>
      </c>
      <c r="I25" s="5" t="s">
        <v>34</v>
      </c>
      <c r="J25" s="5" t="s">
        <v>34</v>
      </c>
      <c r="K25" s="5" t="s">
        <v>34</v>
      </c>
      <c r="L25" s="5" t="s">
        <v>35</v>
      </c>
      <c r="M25" s="5" t="s">
        <v>35</v>
      </c>
      <c r="N25" s="5" t="s">
        <v>35</v>
      </c>
      <c r="O25" s="5" t="s">
        <v>34</v>
      </c>
      <c r="P25" s="5" t="s">
        <v>34</v>
      </c>
      <c r="Q25" s="5" t="s">
        <v>35</v>
      </c>
      <c r="V25" s="3"/>
      <c r="W25" s="15"/>
      <c r="Y25" s="3"/>
      <c r="Z25" s="3"/>
    </row>
    <row r="26" spans="1:26" ht="17" thickBot="1" x14ac:dyDescent="0.5">
      <c r="A26" s="4" t="s">
        <v>15</v>
      </c>
      <c r="B26" s="4">
        <f t="shared" si="1"/>
        <v>37.5</v>
      </c>
      <c r="C26" s="5" t="s">
        <v>35</v>
      </c>
      <c r="D26" s="5" t="s">
        <v>34</v>
      </c>
      <c r="E26" s="5" t="s">
        <v>35</v>
      </c>
      <c r="F26" s="5" t="s">
        <v>35</v>
      </c>
      <c r="G26" s="5" t="s">
        <v>34</v>
      </c>
      <c r="H26" s="5" t="s">
        <v>35</v>
      </c>
      <c r="I26" s="5" t="s">
        <v>35</v>
      </c>
      <c r="J26" s="5" t="s">
        <v>34</v>
      </c>
      <c r="K26" s="5" t="s">
        <v>34</v>
      </c>
      <c r="L26" s="5" t="s">
        <v>35</v>
      </c>
      <c r="M26" s="5" t="s">
        <v>34</v>
      </c>
      <c r="N26" s="5" t="s">
        <v>34</v>
      </c>
      <c r="O26" s="5" t="s">
        <v>35</v>
      </c>
      <c r="P26" s="5" t="s">
        <v>34</v>
      </c>
      <c r="Q26" s="5" t="s">
        <v>34</v>
      </c>
      <c r="V26" s="3"/>
      <c r="W26" s="15"/>
    </row>
    <row r="27" spans="1:26" ht="17" thickBot="1" x14ac:dyDescent="0.5">
      <c r="A27" s="4" t="s">
        <v>16</v>
      </c>
      <c r="B27" s="4">
        <f t="shared" si="1"/>
        <v>36.700000000000003</v>
      </c>
      <c r="C27" s="5" t="s">
        <v>34</v>
      </c>
      <c r="D27" s="5" t="s">
        <v>35</v>
      </c>
      <c r="E27" s="5" t="s">
        <v>35</v>
      </c>
      <c r="F27" s="5" t="s">
        <v>35</v>
      </c>
      <c r="G27" s="5" t="s">
        <v>34</v>
      </c>
      <c r="H27" s="5" t="s">
        <v>34</v>
      </c>
      <c r="I27" s="5" t="s">
        <v>34</v>
      </c>
      <c r="J27" s="5" t="s">
        <v>35</v>
      </c>
      <c r="K27" s="5" t="s">
        <v>35</v>
      </c>
      <c r="L27" s="5" t="s">
        <v>35</v>
      </c>
      <c r="M27" s="5" t="s">
        <v>34</v>
      </c>
      <c r="N27" s="5" t="s">
        <v>34</v>
      </c>
      <c r="O27" s="5" t="s">
        <v>34</v>
      </c>
      <c r="P27" s="5" t="s">
        <v>35</v>
      </c>
      <c r="Q27" s="5" t="s">
        <v>34</v>
      </c>
      <c r="V27" s="3"/>
      <c r="W27" s="15"/>
      <c r="Y27" s="3"/>
      <c r="Z27" s="3"/>
    </row>
    <row r="28" spans="1:26" ht="17" thickBot="1" x14ac:dyDescent="0.5">
      <c r="A28" s="4" t="s">
        <v>17</v>
      </c>
      <c r="B28" s="4">
        <f t="shared" si="1"/>
        <v>39</v>
      </c>
      <c r="C28" s="5" t="s">
        <v>35</v>
      </c>
      <c r="D28" s="5" t="s">
        <v>35</v>
      </c>
      <c r="E28" s="5" t="s">
        <v>35</v>
      </c>
      <c r="F28" s="5" t="s">
        <v>35</v>
      </c>
      <c r="G28" s="5" t="s">
        <v>35</v>
      </c>
      <c r="H28" s="5" t="s">
        <v>35</v>
      </c>
      <c r="I28" s="5" t="s">
        <v>35</v>
      </c>
      <c r="J28" s="5" t="s">
        <v>35</v>
      </c>
      <c r="K28" s="5" t="s">
        <v>35</v>
      </c>
      <c r="L28" s="5" t="s">
        <v>35</v>
      </c>
      <c r="M28" s="5" t="s">
        <v>35</v>
      </c>
      <c r="N28" s="5" t="s">
        <v>35</v>
      </c>
      <c r="O28" s="5" t="s">
        <v>35</v>
      </c>
      <c r="P28" s="5" t="s">
        <v>35</v>
      </c>
      <c r="Q28" s="5" t="s">
        <v>35</v>
      </c>
      <c r="V28" s="3"/>
      <c r="W28" s="15"/>
    </row>
    <row r="29" spans="1:26" ht="17" thickBot="1" x14ac:dyDescent="0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6" ht="17" thickBot="1" x14ac:dyDescent="0.5">
      <c r="A30" s="4" t="s">
        <v>18</v>
      </c>
      <c r="B30" s="4" t="s">
        <v>36</v>
      </c>
      <c r="C30" s="4" t="s">
        <v>19</v>
      </c>
      <c r="D30" s="4" t="s">
        <v>20</v>
      </c>
      <c r="E30" s="4" t="s">
        <v>21</v>
      </c>
      <c r="F30" s="4" t="s">
        <v>22</v>
      </c>
      <c r="G30" s="4" t="s">
        <v>23</v>
      </c>
      <c r="H30" s="4" t="s">
        <v>24</v>
      </c>
      <c r="I30" s="4" t="s">
        <v>25</v>
      </c>
      <c r="J30" s="4" t="s">
        <v>26</v>
      </c>
      <c r="K30" s="4" t="s">
        <v>27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33</v>
      </c>
    </row>
    <row r="31" spans="1:26" ht="17" thickBot="1" x14ac:dyDescent="0.5">
      <c r="A31" s="4">
        <v>1</v>
      </c>
      <c r="B31" s="4">
        <f>B13</f>
        <v>35.799999999999997</v>
      </c>
      <c r="C31">
        <f>IF(C13 = "-",-1,1)</f>
        <v>-1</v>
      </c>
      <c r="D31">
        <f>IF(D13 = "-",-1,1)</f>
        <v>-1</v>
      </c>
      <c r="E31">
        <f>IF(E13 = "-",-1,1)</f>
        <v>-1</v>
      </c>
      <c r="F31">
        <f>IF(F13 = "-",-1,1)</f>
        <v>-1</v>
      </c>
      <c r="G31">
        <f>IF(G13 = "-",-1,1)</f>
        <v>1</v>
      </c>
      <c r="H31">
        <f>IF(H13 = "-",-1,1)</f>
        <v>1</v>
      </c>
      <c r="I31">
        <f>IF(I13 = "-",-1,1)</f>
        <v>1</v>
      </c>
      <c r="J31">
        <f>IF(J13 = "-",-1,1)</f>
        <v>1</v>
      </c>
      <c r="K31">
        <f>IF(K13 = "-",-1,1)</f>
        <v>1</v>
      </c>
      <c r="L31">
        <f>IF(L13 = "-",-1,1)</f>
        <v>1</v>
      </c>
      <c r="M31">
        <f>IF(M13 = "-",-1,1)</f>
        <v>-1</v>
      </c>
      <c r="N31">
        <f>IF(N13 = "-",-1,1)</f>
        <v>-1</v>
      </c>
      <c r="O31">
        <f>IF(O13 = "-",-1,1)</f>
        <v>-1</v>
      </c>
      <c r="P31">
        <f>IF(P13 = "-",-1,1)</f>
        <v>-1</v>
      </c>
      <c r="Q31">
        <f>IF(Q13 = "-",-1,1)</f>
        <v>1</v>
      </c>
    </row>
    <row r="32" spans="1:26" ht="17" thickBot="1" x14ac:dyDescent="0.5">
      <c r="A32" s="4" t="s">
        <v>1</v>
      </c>
      <c r="B32" s="4">
        <f t="shared" ref="B32:B46" si="2">B14</f>
        <v>32.5</v>
      </c>
      <c r="C32">
        <f>IF(C14 = "-",-1,1)</f>
        <v>1</v>
      </c>
      <c r="D32">
        <f>IF(D14 = "-",-1,1)</f>
        <v>-1</v>
      </c>
      <c r="E32">
        <f>IF(E14 = "-",-1,1)</f>
        <v>-1</v>
      </c>
      <c r="F32">
        <f>IF(F14 = "-",-1,1)</f>
        <v>-1</v>
      </c>
      <c r="G32">
        <f>IF(G14 = "-",-1,1)</f>
        <v>-1</v>
      </c>
      <c r="H32">
        <f>IF(H14 = "-",-1,1)</f>
        <v>-1</v>
      </c>
      <c r="I32">
        <f>IF(I14 = "-",-1,1)</f>
        <v>-1</v>
      </c>
      <c r="J32">
        <f>IF(J14 = "-",-1,1)</f>
        <v>1</v>
      </c>
      <c r="K32">
        <f>IF(K14 = "-",-1,1)</f>
        <v>1</v>
      </c>
      <c r="L32">
        <f>IF(L14 = "-",-1,1)</f>
        <v>1</v>
      </c>
      <c r="M32">
        <f>IF(M14 = "-",-1,1)</f>
        <v>1</v>
      </c>
      <c r="N32">
        <f>IF(N14 = "-",-1,1)</f>
        <v>1</v>
      </c>
      <c r="O32">
        <f>IF(O14 = "-",-1,1)</f>
        <v>1</v>
      </c>
      <c r="P32">
        <f>IF(P14 = "-",-1,1)</f>
        <v>-1</v>
      </c>
      <c r="Q32">
        <f>IF(Q14 = "-",-1,1)</f>
        <v>-1</v>
      </c>
    </row>
    <row r="33" spans="1:17" ht="17" thickBot="1" x14ac:dyDescent="0.5">
      <c r="A33" s="4" t="s">
        <v>3</v>
      </c>
      <c r="B33" s="4">
        <f t="shared" si="2"/>
        <v>31.900000000000002</v>
      </c>
      <c r="C33">
        <f>IF(C15 = "-",-1,1)</f>
        <v>-1</v>
      </c>
      <c r="D33">
        <f>IF(D15 = "-",-1,1)</f>
        <v>1</v>
      </c>
      <c r="E33">
        <f>IF(E15 = "-",-1,1)</f>
        <v>-1</v>
      </c>
      <c r="F33">
        <f>IF(F15 = "-",-1,1)</f>
        <v>-1</v>
      </c>
      <c r="G33">
        <f>IF(G15 = "-",-1,1)</f>
        <v>-1</v>
      </c>
      <c r="H33">
        <f>IF(H15 = "-",-1,1)</f>
        <v>1</v>
      </c>
      <c r="I33">
        <f>IF(I15 = "-",-1,1)</f>
        <v>1</v>
      </c>
      <c r="J33">
        <f>IF(J15 = "-",-1,1)</f>
        <v>-1</v>
      </c>
      <c r="K33">
        <f>IF(K15 = "-",-1,1)</f>
        <v>-1</v>
      </c>
      <c r="L33">
        <f>IF(L15 = "-",-1,1)</f>
        <v>1</v>
      </c>
      <c r="M33">
        <f>IF(M15 = "-",-1,1)</f>
        <v>1</v>
      </c>
      <c r="N33">
        <f>IF(N15 = "-",-1,1)</f>
        <v>1</v>
      </c>
      <c r="O33">
        <f>IF(O15 = "-",-1,1)</f>
        <v>-1</v>
      </c>
      <c r="P33">
        <f>IF(P15 = "-",-1,1)</f>
        <v>1</v>
      </c>
      <c r="Q33">
        <f>IF(Q15 = "-",-1,1)</f>
        <v>-1</v>
      </c>
    </row>
    <row r="34" spans="1:17" ht="17" thickBot="1" x14ac:dyDescent="0.5">
      <c r="A34" s="4" t="s">
        <v>4</v>
      </c>
      <c r="B34" s="4">
        <f t="shared" si="2"/>
        <v>35</v>
      </c>
      <c r="C34">
        <f>IF(C16 = "-",-1,1)</f>
        <v>1</v>
      </c>
      <c r="D34">
        <f>IF(D16 = "-",-1,1)</f>
        <v>1</v>
      </c>
      <c r="E34">
        <f>IF(E16 = "-",-1,1)</f>
        <v>-1</v>
      </c>
      <c r="F34">
        <f>IF(F16 = "-",-1,1)</f>
        <v>-1</v>
      </c>
      <c r="G34">
        <f>IF(G16 = "-",-1,1)</f>
        <v>1</v>
      </c>
      <c r="H34">
        <f>IF(H16 = "-",-1,1)</f>
        <v>-1</v>
      </c>
      <c r="I34">
        <f>IF(I16 = "-",-1,1)</f>
        <v>-1</v>
      </c>
      <c r="J34">
        <f>IF(J16 = "-",-1,1)</f>
        <v>-1</v>
      </c>
      <c r="K34">
        <f>IF(K16 = "-",-1,1)</f>
        <v>-1</v>
      </c>
      <c r="L34">
        <f>IF(L16 = "-",-1,1)</f>
        <v>1</v>
      </c>
      <c r="M34">
        <f>IF(M16 = "-",-1,1)</f>
        <v>-1</v>
      </c>
      <c r="N34">
        <f>IF(N16 = "-",-1,1)</f>
        <v>-1</v>
      </c>
      <c r="O34">
        <f>IF(O16 = "-",-1,1)</f>
        <v>1</v>
      </c>
      <c r="P34">
        <f>IF(P16 = "-",-1,1)</f>
        <v>1</v>
      </c>
      <c r="Q34">
        <f>IF(Q16 = "-",-1,1)</f>
        <v>1</v>
      </c>
    </row>
    <row r="35" spans="1:17" ht="17" thickBot="1" x14ac:dyDescent="0.5">
      <c r="A35" s="4" t="s">
        <v>5</v>
      </c>
      <c r="B35" s="4">
        <f t="shared" si="2"/>
        <v>33.4</v>
      </c>
      <c r="C35">
        <f>IF(C17 = "-",-1,1)</f>
        <v>-1</v>
      </c>
      <c r="D35">
        <f>IF(D17 = "-",-1,1)</f>
        <v>-1</v>
      </c>
      <c r="E35">
        <f>IF(E17 = "-",-1,1)</f>
        <v>1</v>
      </c>
      <c r="F35">
        <f>IF(F17 = "-",-1,1)</f>
        <v>-1</v>
      </c>
      <c r="G35">
        <f>IF(G17 = "-",-1,1)</f>
        <v>1</v>
      </c>
      <c r="H35">
        <f>IF(H17 = "-",-1,1)</f>
        <v>-1</v>
      </c>
      <c r="I35">
        <f>IF(I17 = "-",-1,1)</f>
        <v>1</v>
      </c>
      <c r="J35">
        <f>IF(J17 = "-",-1,1)</f>
        <v>-1</v>
      </c>
      <c r="K35">
        <f>IF(K17 = "-",-1,1)</f>
        <v>1</v>
      </c>
      <c r="L35">
        <f>IF(L17 = "-",-1,1)</f>
        <v>-1</v>
      </c>
      <c r="M35">
        <f>IF(M17 = "-",-1,1)</f>
        <v>1</v>
      </c>
      <c r="N35">
        <f>IF(N17 = "-",-1,1)</f>
        <v>-1</v>
      </c>
      <c r="O35">
        <f>IF(O17 = "-",-1,1)</f>
        <v>1</v>
      </c>
      <c r="P35">
        <f>IF(P17 = "-",-1,1)</f>
        <v>1</v>
      </c>
      <c r="Q35">
        <f>IF(Q17 = "-",-1,1)</f>
        <v>-1</v>
      </c>
    </row>
    <row r="36" spans="1:17" ht="17" thickBot="1" x14ac:dyDescent="0.5">
      <c r="A36" s="4" t="s">
        <v>6</v>
      </c>
      <c r="B36" s="4">
        <f t="shared" si="2"/>
        <v>35.700000000000003</v>
      </c>
      <c r="C36">
        <f>IF(C18 = "-",-1,1)</f>
        <v>1</v>
      </c>
      <c r="D36">
        <f>IF(D18 = "-",-1,1)</f>
        <v>-1</v>
      </c>
      <c r="E36">
        <f>IF(E18 = "-",-1,1)</f>
        <v>1</v>
      </c>
      <c r="F36">
        <f>IF(F18 = "-",-1,1)</f>
        <v>-1</v>
      </c>
      <c r="G36">
        <f>IF(G18 = "-",-1,1)</f>
        <v>-1</v>
      </c>
      <c r="H36">
        <f>IF(H18 = "-",-1,1)</f>
        <v>1</v>
      </c>
      <c r="I36">
        <f>IF(I18 = "-",-1,1)</f>
        <v>-1</v>
      </c>
      <c r="J36">
        <f>IF(J18 = "-",-1,1)</f>
        <v>-1</v>
      </c>
      <c r="K36">
        <f>IF(K18 = "-",-1,1)</f>
        <v>1</v>
      </c>
      <c r="L36">
        <f>IF(L18 = "-",-1,1)</f>
        <v>-1</v>
      </c>
      <c r="M36">
        <f>IF(M18 = "-",-1,1)</f>
        <v>-1</v>
      </c>
      <c r="N36">
        <f>IF(N18 = "-",-1,1)</f>
        <v>1</v>
      </c>
      <c r="O36">
        <f>IF(O18 = "-",-1,1)</f>
        <v>-1</v>
      </c>
      <c r="P36">
        <f>IF(P18 = "-",-1,1)</f>
        <v>1</v>
      </c>
      <c r="Q36">
        <f>IF(Q18 = "-",-1,1)</f>
        <v>1</v>
      </c>
    </row>
    <row r="37" spans="1:17" ht="17" thickBot="1" x14ac:dyDescent="0.5">
      <c r="A37" s="4" t="s">
        <v>7</v>
      </c>
      <c r="B37" s="4">
        <f t="shared" si="2"/>
        <v>35.700000000000003</v>
      </c>
      <c r="C37">
        <f>IF(C19 = "-",-1,1)</f>
        <v>-1</v>
      </c>
      <c r="D37">
        <f>IF(D19 = "-",-1,1)</f>
        <v>1</v>
      </c>
      <c r="E37">
        <f>IF(E19 = "-",-1,1)</f>
        <v>1</v>
      </c>
      <c r="F37">
        <f>IF(F19 = "-",-1,1)</f>
        <v>-1</v>
      </c>
      <c r="G37">
        <f>IF(G19 = "-",-1,1)</f>
        <v>-1</v>
      </c>
      <c r="H37">
        <f>IF(H19 = "-",-1,1)</f>
        <v>-1</v>
      </c>
      <c r="I37">
        <f>IF(I19 = "-",-1,1)</f>
        <v>1</v>
      </c>
      <c r="J37">
        <f>IF(J19 = "-",-1,1)</f>
        <v>1</v>
      </c>
      <c r="K37">
        <f>IF(K19 = "-",-1,1)</f>
        <v>-1</v>
      </c>
      <c r="L37">
        <f>IF(L19 = "-",-1,1)</f>
        <v>-1</v>
      </c>
      <c r="M37">
        <f>IF(M19 = "-",-1,1)</f>
        <v>-1</v>
      </c>
      <c r="N37">
        <f>IF(N19 = "-",-1,1)</f>
        <v>1</v>
      </c>
      <c r="O37">
        <f>IF(O19 = "-",-1,1)</f>
        <v>1</v>
      </c>
      <c r="P37">
        <f>IF(P19 = "-",-1,1)</f>
        <v>-1</v>
      </c>
      <c r="Q37">
        <f>IF(Q19 = "-",-1,1)</f>
        <v>1</v>
      </c>
    </row>
    <row r="38" spans="1:17" ht="17" thickBot="1" x14ac:dyDescent="0.5">
      <c r="A38" s="4" t="s">
        <v>8</v>
      </c>
      <c r="B38" s="4">
        <f t="shared" si="2"/>
        <v>35.200000000000003</v>
      </c>
      <c r="C38">
        <f>IF(C20 = "-",-1,1)</f>
        <v>1</v>
      </c>
      <c r="D38">
        <f>IF(D20 = "-",-1,1)</f>
        <v>1</v>
      </c>
      <c r="E38">
        <f>IF(E20 = "-",-1,1)</f>
        <v>1</v>
      </c>
      <c r="F38">
        <f>IF(F20 = "-",-1,1)</f>
        <v>-1</v>
      </c>
      <c r="G38">
        <f>IF(G20 = "-",-1,1)</f>
        <v>1</v>
      </c>
      <c r="H38">
        <f>IF(H20 = "-",-1,1)</f>
        <v>1</v>
      </c>
      <c r="I38">
        <f>IF(I20 = "-",-1,1)</f>
        <v>-1</v>
      </c>
      <c r="J38">
        <f>IF(J20 = "-",-1,1)</f>
        <v>1</v>
      </c>
      <c r="K38">
        <f>IF(K20 = "-",-1,1)</f>
        <v>-1</v>
      </c>
      <c r="L38">
        <f>IF(L20 = "-",-1,1)</f>
        <v>-1</v>
      </c>
      <c r="M38">
        <f>IF(M20 = "-",-1,1)</f>
        <v>1</v>
      </c>
      <c r="N38">
        <f>IF(N20 = "-",-1,1)</f>
        <v>-1</v>
      </c>
      <c r="O38">
        <f>IF(O20 = "-",-1,1)</f>
        <v>-1</v>
      </c>
      <c r="P38">
        <f>IF(P20 = "-",-1,1)</f>
        <v>-1</v>
      </c>
      <c r="Q38">
        <f>IF(Q20 = "-",-1,1)</f>
        <v>-1</v>
      </c>
    </row>
    <row r="39" spans="1:17" ht="17" thickBot="1" x14ac:dyDescent="0.5">
      <c r="A39" s="4" t="s">
        <v>10</v>
      </c>
      <c r="B39" s="4">
        <f t="shared" si="2"/>
        <v>34.400000000000006</v>
      </c>
      <c r="C39">
        <f>IF(C21 = "-",-1,1)</f>
        <v>-1</v>
      </c>
      <c r="D39">
        <f>IF(D21 = "-",-1,1)</f>
        <v>-1</v>
      </c>
      <c r="E39">
        <f>IF(E21 = "-",-1,1)</f>
        <v>-1</v>
      </c>
      <c r="F39">
        <f>IF(F21 = "-",-1,1)</f>
        <v>1</v>
      </c>
      <c r="G39">
        <f>IF(G21 = "-",-1,1)</f>
        <v>1</v>
      </c>
      <c r="H39">
        <f>IF(H21 = "-",-1,1)</f>
        <v>1</v>
      </c>
      <c r="I39">
        <f>IF(I21 = "-",-1,1)</f>
        <v>-1</v>
      </c>
      <c r="J39">
        <f>IF(J21 = "-",-1,1)</f>
        <v>1</v>
      </c>
      <c r="K39">
        <f>IF(K21 = "-",-1,1)</f>
        <v>-1</v>
      </c>
      <c r="L39">
        <f>IF(L21 = "-",-1,1)</f>
        <v>-1</v>
      </c>
      <c r="M39">
        <f>IF(M21 = "-",-1,1)</f>
        <v>-1</v>
      </c>
      <c r="N39">
        <f>IF(N21 = "-",-1,1)</f>
        <v>1</v>
      </c>
      <c r="O39">
        <f>IF(O21 = "-",-1,1)</f>
        <v>1</v>
      </c>
      <c r="P39">
        <f>IF(P21 = "-",-1,1)</f>
        <v>1</v>
      </c>
      <c r="Q39">
        <f>IF(Q21 = "-",-1,1)</f>
        <v>-1</v>
      </c>
    </row>
    <row r="40" spans="1:17" ht="17" thickBot="1" x14ac:dyDescent="0.5">
      <c r="A40" s="4" t="s">
        <v>11</v>
      </c>
      <c r="B40" s="4">
        <f t="shared" si="2"/>
        <v>35.9</v>
      </c>
      <c r="C40">
        <f>IF(C22 = "-",-1,1)</f>
        <v>1</v>
      </c>
      <c r="D40">
        <f>IF(D22 = "-",-1,1)</f>
        <v>-1</v>
      </c>
      <c r="E40">
        <f>IF(E22 = "-",-1,1)</f>
        <v>-1</v>
      </c>
      <c r="F40">
        <f>IF(F22 = "-",-1,1)</f>
        <v>1</v>
      </c>
      <c r="G40">
        <f>IF(G22 = "-",-1,1)</f>
        <v>-1</v>
      </c>
      <c r="H40">
        <f>IF(H22 = "-",-1,1)</f>
        <v>-1</v>
      </c>
      <c r="I40">
        <f>IF(I22 = "-",-1,1)</f>
        <v>1</v>
      </c>
      <c r="J40">
        <f>IF(J22 = "-",-1,1)</f>
        <v>1</v>
      </c>
      <c r="K40">
        <f>IF(K22 = "-",-1,1)</f>
        <v>-1</v>
      </c>
      <c r="L40">
        <f>IF(L22 = "-",-1,1)</f>
        <v>-1</v>
      </c>
      <c r="M40">
        <f>IF(M22 = "-",-1,1)</f>
        <v>1</v>
      </c>
      <c r="N40">
        <f>IF(N22 = "-",-1,1)</f>
        <v>-1</v>
      </c>
      <c r="O40">
        <f>IF(O22 = "-",-1,1)</f>
        <v>-1</v>
      </c>
      <c r="P40">
        <f>IF(P22 = "-",-1,1)</f>
        <v>1</v>
      </c>
      <c r="Q40">
        <f>IF(Q22 = "-",-1,1)</f>
        <v>1</v>
      </c>
    </row>
    <row r="41" spans="1:17" ht="17" thickBot="1" x14ac:dyDescent="0.5">
      <c r="A41" s="4" t="s">
        <v>12</v>
      </c>
      <c r="B41" s="4">
        <f t="shared" si="2"/>
        <v>35.299999999999997</v>
      </c>
      <c r="C41">
        <f>IF(C23 = "-",-1,1)</f>
        <v>-1</v>
      </c>
      <c r="D41">
        <f>IF(D23 = "-",-1,1)</f>
        <v>1</v>
      </c>
      <c r="E41">
        <f>IF(E23 = "-",-1,1)</f>
        <v>-1</v>
      </c>
      <c r="F41">
        <f>IF(F23 = "-",-1,1)</f>
        <v>1</v>
      </c>
      <c r="G41">
        <f>IF(G23 = "-",-1,1)</f>
        <v>-1</v>
      </c>
      <c r="H41">
        <f>IF(H23 = "-",-1,1)</f>
        <v>1</v>
      </c>
      <c r="I41">
        <f>IF(I23 = "-",-1,1)</f>
        <v>-1</v>
      </c>
      <c r="J41">
        <f>IF(J23 = "-",-1,1)</f>
        <v>-1</v>
      </c>
      <c r="K41">
        <f>IF(K23 = "-",-1,1)</f>
        <v>1</v>
      </c>
      <c r="L41">
        <f>IF(L23 = "-",-1,1)</f>
        <v>-1</v>
      </c>
      <c r="M41">
        <f>IF(M23 = "-",-1,1)</f>
        <v>1</v>
      </c>
      <c r="N41">
        <f>IF(N23 = "-",-1,1)</f>
        <v>-1</v>
      </c>
      <c r="O41">
        <f>IF(O23 = "-",-1,1)</f>
        <v>1</v>
      </c>
      <c r="P41">
        <f>IF(P23 = "-",-1,1)</f>
        <v>-1</v>
      </c>
      <c r="Q41">
        <f>IF(Q23 = "-",-1,1)</f>
        <v>1</v>
      </c>
    </row>
    <row r="42" spans="1:17" ht="17" thickBot="1" x14ac:dyDescent="0.5">
      <c r="A42" s="4" t="s">
        <v>13</v>
      </c>
      <c r="B42" s="4">
        <f t="shared" si="2"/>
        <v>36.400000000000006</v>
      </c>
      <c r="C42">
        <f>IF(C24 = "-",-1,1)</f>
        <v>1</v>
      </c>
      <c r="D42">
        <f>IF(D24 = "-",-1,1)</f>
        <v>1</v>
      </c>
      <c r="E42">
        <f>IF(E24 = "-",-1,1)</f>
        <v>-1</v>
      </c>
      <c r="F42">
        <f>IF(F24 = "-",-1,1)</f>
        <v>1</v>
      </c>
      <c r="G42">
        <f>IF(G24 = "-",-1,1)</f>
        <v>1</v>
      </c>
      <c r="H42">
        <f>IF(H24 = "-",-1,1)</f>
        <v>-1</v>
      </c>
      <c r="I42">
        <f>IF(I24 = "-",-1,1)</f>
        <v>1</v>
      </c>
      <c r="J42">
        <f>IF(J24 = "-",-1,1)</f>
        <v>-1</v>
      </c>
      <c r="K42">
        <f>IF(K24 = "-",-1,1)</f>
        <v>1</v>
      </c>
      <c r="L42">
        <f>IF(L24 = "-",-1,1)</f>
        <v>-1</v>
      </c>
      <c r="M42">
        <f>IF(M24 = "-",-1,1)</f>
        <v>-1</v>
      </c>
      <c r="N42">
        <f>IF(N24 = "-",-1,1)</f>
        <v>1</v>
      </c>
      <c r="O42">
        <f>IF(O24 = "-",-1,1)</f>
        <v>-1</v>
      </c>
      <c r="P42">
        <f>IF(P24 = "-",-1,1)</f>
        <v>-1</v>
      </c>
      <c r="Q42">
        <f>IF(Q24 = "-",-1,1)</f>
        <v>-1</v>
      </c>
    </row>
    <row r="43" spans="1:17" ht="17" thickBot="1" x14ac:dyDescent="0.5">
      <c r="A43" s="4" t="s">
        <v>14</v>
      </c>
      <c r="B43" s="4">
        <f t="shared" si="2"/>
        <v>36</v>
      </c>
      <c r="C43">
        <f>IF(C25 = "-",-1,1)</f>
        <v>-1</v>
      </c>
      <c r="D43">
        <f>IF(D25 = "-",-1,1)</f>
        <v>-1</v>
      </c>
      <c r="E43">
        <f>IF(E25 = "-",-1,1)</f>
        <v>1</v>
      </c>
      <c r="F43">
        <f>IF(F25 = "-",-1,1)</f>
        <v>1</v>
      </c>
      <c r="G43">
        <f>IF(G25 = "-",-1,1)</f>
        <v>1</v>
      </c>
      <c r="H43">
        <f>IF(H25 = "-",-1,1)</f>
        <v>-1</v>
      </c>
      <c r="I43">
        <f>IF(I25 = "-",-1,1)</f>
        <v>-1</v>
      </c>
      <c r="J43">
        <f>IF(J25 = "-",-1,1)</f>
        <v>-1</v>
      </c>
      <c r="K43">
        <f>IF(K25 = "-",-1,1)</f>
        <v>-1</v>
      </c>
      <c r="L43">
        <f>IF(L25 = "-",-1,1)</f>
        <v>1</v>
      </c>
      <c r="M43">
        <f>IF(M25 = "-",-1,1)</f>
        <v>1</v>
      </c>
      <c r="N43">
        <f>IF(N25 = "-",-1,1)</f>
        <v>1</v>
      </c>
      <c r="O43">
        <f>IF(O25 = "-",-1,1)</f>
        <v>-1</v>
      </c>
      <c r="P43">
        <f>IF(P25 = "-",-1,1)</f>
        <v>-1</v>
      </c>
      <c r="Q43">
        <f>IF(Q25 = "-",-1,1)</f>
        <v>1</v>
      </c>
    </row>
    <row r="44" spans="1:17" ht="17" thickBot="1" x14ac:dyDescent="0.5">
      <c r="A44" s="4" t="s">
        <v>15</v>
      </c>
      <c r="B44" s="4">
        <f t="shared" si="2"/>
        <v>37.5</v>
      </c>
      <c r="C44">
        <f>IF(C26 = "-",-1,1)</f>
        <v>1</v>
      </c>
      <c r="D44">
        <f>IF(D26 = "-",-1,1)</f>
        <v>-1</v>
      </c>
      <c r="E44">
        <f>IF(E26 = "-",-1,1)</f>
        <v>1</v>
      </c>
      <c r="F44">
        <f>IF(F26 = "-",-1,1)</f>
        <v>1</v>
      </c>
      <c r="G44">
        <f>IF(G26 = "-",-1,1)</f>
        <v>-1</v>
      </c>
      <c r="H44">
        <f>IF(H26 = "-",-1,1)</f>
        <v>1</v>
      </c>
      <c r="I44">
        <f>IF(I26 = "-",-1,1)</f>
        <v>1</v>
      </c>
      <c r="J44">
        <f>IF(J26 = "-",-1,1)</f>
        <v>-1</v>
      </c>
      <c r="K44">
        <f>IF(K26 = "-",-1,1)</f>
        <v>-1</v>
      </c>
      <c r="L44">
        <f>IF(L26 = "-",-1,1)</f>
        <v>1</v>
      </c>
      <c r="M44">
        <f>IF(M26 = "-",-1,1)</f>
        <v>-1</v>
      </c>
      <c r="N44">
        <f>IF(N26 = "-",-1,1)</f>
        <v>-1</v>
      </c>
      <c r="O44">
        <f>IF(O26 = "-",-1,1)</f>
        <v>1</v>
      </c>
      <c r="P44">
        <f>IF(P26 = "-",-1,1)</f>
        <v>-1</v>
      </c>
      <c r="Q44">
        <f>IF(Q26 = "-",-1,1)</f>
        <v>-1</v>
      </c>
    </row>
    <row r="45" spans="1:17" ht="17" thickBot="1" x14ac:dyDescent="0.5">
      <c r="A45" s="4" t="s">
        <v>16</v>
      </c>
      <c r="B45" s="4">
        <f t="shared" si="2"/>
        <v>36.700000000000003</v>
      </c>
      <c r="C45">
        <f>IF(C27 = "-",-1,1)</f>
        <v>-1</v>
      </c>
      <c r="D45">
        <f>IF(D27 = "-",-1,1)</f>
        <v>1</v>
      </c>
      <c r="E45">
        <f>IF(E27 = "-",-1,1)</f>
        <v>1</v>
      </c>
      <c r="F45">
        <f>IF(F27 = "-",-1,1)</f>
        <v>1</v>
      </c>
      <c r="G45">
        <f>IF(G27 = "-",-1,1)</f>
        <v>-1</v>
      </c>
      <c r="H45">
        <f>IF(H27 = "-",-1,1)</f>
        <v>-1</v>
      </c>
      <c r="I45">
        <f>IF(I27 = "-",-1,1)</f>
        <v>-1</v>
      </c>
      <c r="J45">
        <f>IF(J27 = "-",-1,1)</f>
        <v>1</v>
      </c>
      <c r="K45">
        <f>IF(K27 = "-",-1,1)</f>
        <v>1</v>
      </c>
      <c r="L45">
        <f>IF(L27 = "-",-1,1)</f>
        <v>1</v>
      </c>
      <c r="M45">
        <f>IF(M27 = "-",-1,1)</f>
        <v>-1</v>
      </c>
      <c r="N45">
        <f>IF(N27 = "-",-1,1)</f>
        <v>-1</v>
      </c>
      <c r="O45">
        <f>IF(O27 = "-",-1,1)</f>
        <v>-1</v>
      </c>
      <c r="P45">
        <f>IF(P27 = "-",-1,1)</f>
        <v>1</v>
      </c>
      <c r="Q45">
        <f>IF(Q27 = "-",-1,1)</f>
        <v>-1</v>
      </c>
    </row>
    <row r="46" spans="1:17" ht="17" thickBot="1" x14ac:dyDescent="0.5">
      <c r="A46" s="4" t="s">
        <v>17</v>
      </c>
      <c r="B46" s="4">
        <f t="shared" si="2"/>
        <v>39</v>
      </c>
      <c r="C46">
        <f>IF(C28 = "-",-1,1)</f>
        <v>1</v>
      </c>
      <c r="D46">
        <f>IF(D28 = "-",-1,1)</f>
        <v>1</v>
      </c>
      <c r="E46">
        <f>IF(E28 = "-",-1,1)</f>
        <v>1</v>
      </c>
      <c r="F46">
        <f>IF(F28 = "-",-1,1)</f>
        <v>1</v>
      </c>
      <c r="G46">
        <f>IF(G28 = "-",-1,1)</f>
        <v>1</v>
      </c>
      <c r="H46">
        <f>IF(H28 = "-",-1,1)</f>
        <v>1</v>
      </c>
      <c r="I46">
        <f>IF(I28 = "-",-1,1)</f>
        <v>1</v>
      </c>
      <c r="J46">
        <f>IF(J28 = "-",-1,1)</f>
        <v>1</v>
      </c>
      <c r="K46">
        <f>IF(K28 = "-",-1,1)</f>
        <v>1</v>
      </c>
      <c r="L46">
        <f>IF(L28 = "-",-1,1)</f>
        <v>1</v>
      </c>
      <c r="M46">
        <f>IF(M28 = "-",-1,1)</f>
        <v>1</v>
      </c>
      <c r="N46">
        <f>IF(N28 = "-",-1,1)</f>
        <v>1</v>
      </c>
      <c r="O46">
        <f>IF(O28 = "-",-1,1)</f>
        <v>1</v>
      </c>
      <c r="P46">
        <f>IF(P28 = "-",-1,1)</f>
        <v>1</v>
      </c>
      <c r="Q46">
        <f>IF(Q28 = "-",-1,1)</f>
        <v>1</v>
      </c>
    </row>
    <row r="47" spans="1:17" ht="17" thickBot="1" x14ac:dyDescent="0.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ht="17" thickBot="1" x14ac:dyDescent="0.5">
      <c r="A48" s="4" t="s">
        <v>18</v>
      </c>
      <c r="B48" s="4" t="s">
        <v>36</v>
      </c>
      <c r="C48" s="4" t="s">
        <v>19</v>
      </c>
      <c r="D48" s="4" t="s">
        <v>20</v>
      </c>
      <c r="E48" s="4" t="s">
        <v>21</v>
      </c>
      <c r="F48" s="4" t="s">
        <v>22</v>
      </c>
      <c r="G48" s="4" t="s">
        <v>23</v>
      </c>
      <c r="H48" s="4" t="s">
        <v>24</v>
      </c>
      <c r="I48" s="4" t="s">
        <v>25</v>
      </c>
      <c r="J48" s="4" t="s">
        <v>26</v>
      </c>
      <c r="K48" s="4" t="s">
        <v>27</v>
      </c>
      <c r="L48" s="4" t="s">
        <v>28</v>
      </c>
      <c r="M48" s="4" t="s">
        <v>29</v>
      </c>
      <c r="N48" s="4" t="s">
        <v>30</v>
      </c>
      <c r="O48" s="4" t="s">
        <v>31</v>
      </c>
      <c r="P48" s="4" t="s">
        <v>32</v>
      </c>
      <c r="Q48" s="4" t="s">
        <v>33</v>
      </c>
    </row>
    <row r="49" spans="1:17" ht="17" thickBot="1" x14ac:dyDescent="0.5">
      <c r="A49" s="4">
        <v>1</v>
      </c>
      <c r="B49" s="4">
        <f>B31</f>
        <v>35.799999999999997</v>
      </c>
      <c r="C49">
        <f>$B31*C31</f>
        <v>-35.799999999999997</v>
      </c>
      <c r="D49">
        <f t="shared" ref="D49:Q49" si="3">$B31*D31</f>
        <v>-35.799999999999997</v>
      </c>
      <c r="E49">
        <f t="shared" si="3"/>
        <v>-35.799999999999997</v>
      </c>
      <c r="F49">
        <f t="shared" si="3"/>
        <v>-35.799999999999997</v>
      </c>
      <c r="G49">
        <f t="shared" si="3"/>
        <v>35.799999999999997</v>
      </c>
      <c r="H49">
        <f t="shared" si="3"/>
        <v>35.799999999999997</v>
      </c>
      <c r="I49">
        <f t="shared" si="3"/>
        <v>35.799999999999997</v>
      </c>
      <c r="J49">
        <f t="shared" si="3"/>
        <v>35.799999999999997</v>
      </c>
      <c r="K49">
        <f t="shared" si="3"/>
        <v>35.799999999999997</v>
      </c>
      <c r="L49">
        <f t="shared" si="3"/>
        <v>35.799999999999997</v>
      </c>
      <c r="M49">
        <f t="shared" si="3"/>
        <v>-35.799999999999997</v>
      </c>
      <c r="N49">
        <f t="shared" si="3"/>
        <v>-35.799999999999997</v>
      </c>
      <c r="O49">
        <f t="shared" si="3"/>
        <v>-35.799999999999997</v>
      </c>
      <c r="P49">
        <f t="shared" si="3"/>
        <v>-35.799999999999997</v>
      </c>
      <c r="Q49">
        <f t="shared" si="3"/>
        <v>35.799999999999997</v>
      </c>
    </row>
    <row r="50" spans="1:17" ht="17" thickBot="1" x14ac:dyDescent="0.5">
      <c r="A50" s="4" t="s">
        <v>1</v>
      </c>
      <c r="B50" s="4">
        <f t="shared" ref="B50:B64" si="4">B32</f>
        <v>32.5</v>
      </c>
      <c r="C50">
        <f t="shared" ref="C50:Q64" si="5">$B32*C32</f>
        <v>32.5</v>
      </c>
      <c r="D50">
        <f t="shared" si="5"/>
        <v>-32.5</v>
      </c>
      <c r="E50">
        <f t="shared" si="5"/>
        <v>-32.5</v>
      </c>
      <c r="F50">
        <f t="shared" si="5"/>
        <v>-32.5</v>
      </c>
      <c r="G50">
        <f t="shared" si="5"/>
        <v>-32.5</v>
      </c>
      <c r="H50">
        <f t="shared" si="5"/>
        <v>-32.5</v>
      </c>
      <c r="I50">
        <f t="shared" si="5"/>
        <v>-32.5</v>
      </c>
      <c r="J50">
        <f t="shared" si="5"/>
        <v>32.5</v>
      </c>
      <c r="K50">
        <f t="shared" si="5"/>
        <v>32.5</v>
      </c>
      <c r="L50">
        <f t="shared" si="5"/>
        <v>32.5</v>
      </c>
      <c r="M50">
        <f t="shared" si="5"/>
        <v>32.5</v>
      </c>
      <c r="N50">
        <f t="shared" si="5"/>
        <v>32.5</v>
      </c>
      <c r="O50">
        <f t="shared" si="5"/>
        <v>32.5</v>
      </c>
      <c r="P50">
        <f t="shared" si="5"/>
        <v>-32.5</v>
      </c>
      <c r="Q50">
        <f t="shared" si="5"/>
        <v>-32.5</v>
      </c>
    </row>
    <row r="51" spans="1:17" ht="17" thickBot="1" x14ac:dyDescent="0.5">
      <c r="A51" s="4" t="s">
        <v>3</v>
      </c>
      <c r="B51" s="4">
        <f t="shared" si="4"/>
        <v>31.900000000000002</v>
      </c>
      <c r="C51">
        <f t="shared" si="5"/>
        <v>-31.900000000000002</v>
      </c>
      <c r="D51">
        <f t="shared" si="5"/>
        <v>31.900000000000002</v>
      </c>
      <c r="E51">
        <f t="shared" si="5"/>
        <v>-31.900000000000002</v>
      </c>
      <c r="F51">
        <f t="shared" si="5"/>
        <v>-31.900000000000002</v>
      </c>
      <c r="G51">
        <f t="shared" si="5"/>
        <v>-31.900000000000002</v>
      </c>
      <c r="H51">
        <f t="shared" si="5"/>
        <v>31.900000000000002</v>
      </c>
      <c r="I51">
        <f t="shared" si="5"/>
        <v>31.900000000000002</v>
      </c>
      <c r="J51">
        <f t="shared" si="5"/>
        <v>-31.900000000000002</v>
      </c>
      <c r="K51">
        <f t="shared" si="5"/>
        <v>-31.900000000000002</v>
      </c>
      <c r="L51">
        <f t="shared" si="5"/>
        <v>31.900000000000002</v>
      </c>
      <c r="M51">
        <f t="shared" si="5"/>
        <v>31.900000000000002</v>
      </c>
      <c r="N51">
        <f t="shared" si="5"/>
        <v>31.900000000000002</v>
      </c>
      <c r="O51">
        <f t="shared" si="5"/>
        <v>-31.900000000000002</v>
      </c>
      <c r="P51">
        <f t="shared" si="5"/>
        <v>31.900000000000002</v>
      </c>
      <c r="Q51">
        <f t="shared" si="5"/>
        <v>-31.900000000000002</v>
      </c>
    </row>
    <row r="52" spans="1:17" ht="17" thickBot="1" x14ac:dyDescent="0.5">
      <c r="A52" s="4" t="s">
        <v>4</v>
      </c>
      <c r="B52" s="4">
        <f t="shared" si="4"/>
        <v>35</v>
      </c>
      <c r="C52">
        <f t="shared" si="5"/>
        <v>35</v>
      </c>
      <c r="D52">
        <f t="shared" si="5"/>
        <v>35</v>
      </c>
      <c r="E52">
        <f t="shared" si="5"/>
        <v>-35</v>
      </c>
      <c r="F52">
        <f t="shared" si="5"/>
        <v>-35</v>
      </c>
      <c r="G52">
        <f t="shared" si="5"/>
        <v>35</v>
      </c>
      <c r="H52">
        <f t="shared" si="5"/>
        <v>-35</v>
      </c>
      <c r="I52">
        <f t="shared" si="5"/>
        <v>-35</v>
      </c>
      <c r="J52">
        <f t="shared" si="5"/>
        <v>-35</v>
      </c>
      <c r="K52">
        <f t="shared" si="5"/>
        <v>-35</v>
      </c>
      <c r="L52">
        <f t="shared" si="5"/>
        <v>35</v>
      </c>
      <c r="M52">
        <f t="shared" si="5"/>
        <v>-35</v>
      </c>
      <c r="N52">
        <f t="shared" si="5"/>
        <v>-35</v>
      </c>
      <c r="O52">
        <f t="shared" si="5"/>
        <v>35</v>
      </c>
      <c r="P52">
        <f t="shared" si="5"/>
        <v>35</v>
      </c>
      <c r="Q52">
        <f t="shared" si="5"/>
        <v>35</v>
      </c>
    </row>
    <row r="53" spans="1:17" ht="17" thickBot="1" x14ac:dyDescent="0.5">
      <c r="A53" s="4" t="s">
        <v>5</v>
      </c>
      <c r="B53" s="4">
        <f t="shared" si="4"/>
        <v>33.4</v>
      </c>
      <c r="C53">
        <f t="shared" si="5"/>
        <v>-33.4</v>
      </c>
      <c r="D53">
        <f t="shared" si="5"/>
        <v>-33.4</v>
      </c>
      <c r="E53">
        <f t="shared" si="5"/>
        <v>33.4</v>
      </c>
      <c r="F53">
        <f t="shared" si="5"/>
        <v>-33.4</v>
      </c>
      <c r="G53">
        <f t="shared" si="5"/>
        <v>33.4</v>
      </c>
      <c r="H53">
        <f t="shared" si="5"/>
        <v>-33.4</v>
      </c>
      <c r="I53">
        <f t="shared" si="5"/>
        <v>33.4</v>
      </c>
      <c r="J53">
        <f t="shared" si="5"/>
        <v>-33.4</v>
      </c>
      <c r="K53">
        <f t="shared" si="5"/>
        <v>33.4</v>
      </c>
      <c r="L53">
        <f t="shared" si="5"/>
        <v>-33.4</v>
      </c>
      <c r="M53">
        <f t="shared" si="5"/>
        <v>33.4</v>
      </c>
      <c r="N53">
        <f t="shared" si="5"/>
        <v>-33.4</v>
      </c>
      <c r="O53">
        <f t="shared" si="5"/>
        <v>33.4</v>
      </c>
      <c r="P53">
        <f t="shared" si="5"/>
        <v>33.4</v>
      </c>
      <c r="Q53">
        <f t="shared" si="5"/>
        <v>-33.4</v>
      </c>
    </row>
    <row r="54" spans="1:17" ht="17" thickBot="1" x14ac:dyDescent="0.5">
      <c r="A54" s="4" t="s">
        <v>6</v>
      </c>
      <c r="B54" s="4">
        <f t="shared" si="4"/>
        <v>35.700000000000003</v>
      </c>
      <c r="C54">
        <f t="shared" si="5"/>
        <v>35.700000000000003</v>
      </c>
      <c r="D54">
        <f t="shared" si="5"/>
        <v>-35.700000000000003</v>
      </c>
      <c r="E54">
        <f t="shared" si="5"/>
        <v>35.700000000000003</v>
      </c>
      <c r="F54">
        <f t="shared" si="5"/>
        <v>-35.700000000000003</v>
      </c>
      <c r="G54">
        <f t="shared" si="5"/>
        <v>-35.700000000000003</v>
      </c>
      <c r="H54">
        <f t="shared" si="5"/>
        <v>35.700000000000003</v>
      </c>
      <c r="I54">
        <f t="shared" si="5"/>
        <v>-35.700000000000003</v>
      </c>
      <c r="J54">
        <f t="shared" si="5"/>
        <v>-35.700000000000003</v>
      </c>
      <c r="K54">
        <f t="shared" si="5"/>
        <v>35.700000000000003</v>
      </c>
      <c r="L54">
        <f t="shared" si="5"/>
        <v>-35.700000000000003</v>
      </c>
      <c r="M54">
        <f t="shared" si="5"/>
        <v>-35.700000000000003</v>
      </c>
      <c r="N54">
        <f t="shared" si="5"/>
        <v>35.700000000000003</v>
      </c>
      <c r="O54">
        <f t="shared" si="5"/>
        <v>-35.700000000000003</v>
      </c>
      <c r="P54">
        <f t="shared" si="5"/>
        <v>35.700000000000003</v>
      </c>
      <c r="Q54">
        <f t="shared" si="5"/>
        <v>35.700000000000003</v>
      </c>
    </row>
    <row r="55" spans="1:17" ht="17" thickBot="1" x14ac:dyDescent="0.5">
      <c r="A55" s="4" t="s">
        <v>7</v>
      </c>
      <c r="B55" s="4">
        <f t="shared" si="4"/>
        <v>35.700000000000003</v>
      </c>
      <c r="C55">
        <f t="shared" si="5"/>
        <v>-35.700000000000003</v>
      </c>
      <c r="D55">
        <f t="shared" si="5"/>
        <v>35.700000000000003</v>
      </c>
      <c r="E55">
        <f t="shared" si="5"/>
        <v>35.700000000000003</v>
      </c>
      <c r="F55">
        <f t="shared" si="5"/>
        <v>-35.700000000000003</v>
      </c>
      <c r="G55">
        <f t="shared" si="5"/>
        <v>-35.700000000000003</v>
      </c>
      <c r="H55">
        <f t="shared" si="5"/>
        <v>-35.700000000000003</v>
      </c>
      <c r="I55">
        <f t="shared" si="5"/>
        <v>35.700000000000003</v>
      </c>
      <c r="J55">
        <f t="shared" si="5"/>
        <v>35.700000000000003</v>
      </c>
      <c r="K55">
        <f t="shared" si="5"/>
        <v>-35.700000000000003</v>
      </c>
      <c r="L55">
        <f t="shared" si="5"/>
        <v>-35.700000000000003</v>
      </c>
      <c r="M55">
        <f t="shared" si="5"/>
        <v>-35.700000000000003</v>
      </c>
      <c r="N55">
        <f t="shared" si="5"/>
        <v>35.700000000000003</v>
      </c>
      <c r="O55">
        <f t="shared" si="5"/>
        <v>35.700000000000003</v>
      </c>
      <c r="P55">
        <f t="shared" si="5"/>
        <v>-35.700000000000003</v>
      </c>
      <c r="Q55">
        <f t="shared" si="5"/>
        <v>35.700000000000003</v>
      </c>
    </row>
    <row r="56" spans="1:17" ht="17" thickBot="1" x14ac:dyDescent="0.5">
      <c r="A56" s="4" t="s">
        <v>8</v>
      </c>
      <c r="B56" s="4">
        <f t="shared" si="4"/>
        <v>35.200000000000003</v>
      </c>
      <c r="C56">
        <f t="shared" si="5"/>
        <v>35.200000000000003</v>
      </c>
      <c r="D56">
        <f t="shared" si="5"/>
        <v>35.200000000000003</v>
      </c>
      <c r="E56">
        <f t="shared" si="5"/>
        <v>35.200000000000003</v>
      </c>
      <c r="F56">
        <f t="shared" si="5"/>
        <v>-35.200000000000003</v>
      </c>
      <c r="G56">
        <f t="shared" si="5"/>
        <v>35.200000000000003</v>
      </c>
      <c r="H56">
        <f t="shared" si="5"/>
        <v>35.200000000000003</v>
      </c>
      <c r="I56">
        <f t="shared" si="5"/>
        <v>-35.200000000000003</v>
      </c>
      <c r="J56">
        <f t="shared" si="5"/>
        <v>35.200000000000003</v>
      </c>
      <c r="K56">
        <f t="shared" si="5"/>
        <v>-35.200000000000003</v>
      </c>
      <c r="L56">
        <f t="shared" si="5"/>
        <v>-35.200000000000003</v>
      </c>
      <c r="M56">
        <f t="shared" si="5"/>
        <v>35.200000000000003</v>
      </c>
      <c r="N56">
        <f t="shared" si="5"/>
        <v>-35.200000000000003</v>
      </c>
      <c r="O56">
        <f t="shared" si="5"/>
        <v>-35.200000000000003</v>
      </c>
      <c r="P56">
        <f t="shared" si="5"/>
        <v>-35.200000000000003</v>
      </c>
      <c r="Q56">
        <f t="shared" si="5"/>
        <v>-35.200000000000003</v>
      </c>
    </row>
    <row r="57" spans="1:17" ht="17" thickBot="1" x14ac:dyDescent="0.5">
      <c r="A57" s="4" t="s">
        <v>10</v>
      </c>
      <c r="B57" s="4">
        <f t="shared" si="4"/>
        <v>34.400000000000006</v>
      </c>
      <c r="C57">
        <f t="shared" si="5"/>
        <v>-34.400000000000006</v>
      </c>
      <c r="D57">
        <f t="shared" si="5"/>
        <v>-34.400000000000006</v>
      </c>
      <c r="E57">
        <f t="shared" si="5"/>
        <v>-34.400000000000006</v>
      </c>
      <c r="F57">
        <f t="shared" si="5"/>
        <v>34.400000000000006</v>
      </c>
      <c r="G57">
        <f t="shared" si="5"/>
        <v>34.400000000000006</v>
      </c>
      <c r="H57">
        <f t="shared" si="5"/>
        <v>34.400000000000006</v>
      </c>
      <c r="I57">
        <f t="shared" si="5"/>
        <v>-34.400000000000006</v>
      </c>
      <c r="J57">
        <f t="shared" si="5"/>
        <v>34.400000000000006</v>
      </c>
      <c r="K57">
        <f t="shared" si="5"/>
        <v>-34.400000000000006</v>
      </c>
      <c r="L57">
        <f t="shared" si="5"/>
        <v>-34.400000000000006</v>
      </c>
      <c r="M57">
        <f t="shared" si="5"/>
        <v>-34.400000000000006</v>
      </c>
      <c r="N57">
        <f t="shared" si="5"/>
        <v>34.400000000000006</v>
      </c>
      <c r="O57">
        <f t="shared" si="5"/>
        <v>34.400000000000006</v>
      </c>
      <c r="P57">
        <f t="shared" si="5"/>
        <v>34.400000000000006</v>
      </c>
      <c r="Q57">
        <f t="shared" si="5"/>
        <v>-34.400000000000006</v>
      </c>
    </row>
    <row r="58" spans="1:17" ht="17" thickBot="1" x14ac:dyDescent="0.5">
      <c r="A58" s="4" t="s">
        <v>11</v>
      </c>
      <c r="B58" s="4">
        <f t="shared" si="4"/>
        <v>35.9</v>
      </c>
      <c r="C58">
        <f t="shared" si="5"/>
        <v>35.9</v>
      </c>
      <c r="D58">
        <f t="shared" si="5"/>
        <v>-35.9</v>
      </c>
      <c r="E58">
        <f t="shared" si="5"/>
        <v>-35.9</v>
      </c>
      <c r="F58">
        <f t="shared" si="5"/>
        <v>35.9</v>
      </c>
      <c r="G58">
        <f t="shared" si="5"/>
        <v>-35.9</v>
      </c>
      <c r="H58">
        <f t="shared" si="5"/>
        <v>-35.9</v>
      </c>
      <c r="I58">
        <f t="shared" si="5"/>
        <v>35.9</v>
      </c>
      <c r="J58">
        <f t="shared" si="5"/>
        <v>35.9</v>
      </c>
      <c r="K58">
        <f t="shared" si="5"/>
        <v>-35.9</v>
      </c>
      <c r="L58">
        <f t="shared" si="5"/>
        <v>-35.9</v>
      </c>
      <c r="M58">
        <f t="shared" si="5"/>
        <v>35.9</v>
      </c>
      <c r="N58">
        <f t="shared" si="5"/>
        <v>-35.9</v>
      </c>
      <c r="O58">
        <f t="shared" si="5"/>
        <v>-35.9</v>
      </c>
      <c r="P58">
        <f t="shared" si="5"/>
        <v>35.9</v>
      </c>
      <c r="Q58">
        <f t="shared" si="5"/>
        <v>35.9</v>
      </c>
    </row>
    <row r="59" spans="1:17" ht="17" thickBot="1" x14ac:dyDescent="0.5">
      <c r="A59" s="4" t="s">
        <v>12</v>
      </c>
      <c r="B59" s="4">
        <f t="shared" si="4"/>
        <v>35.299999999999997</v>
      </c>
      <c r="C59">
        <f t="shared" si="5"/>
        <v>-35.299999999999997</v>
      </c>
      <c r="D59">
        <f t="shared" si="5"/>
        <v>35.299999999999997</v>
      </c>
      <c r="E59">
        <f t="shared" si="5"/>
        <v>-35.299999999999997</v>
      </c>
      <c r="F59">
        <f t="shared" si="5"/>
        <v>35.299999999999997</v>
      </c>
      <c r="G59">
        <f t="shared" si="5"/>
        <v>-35.299999999999997</v>
      </c>
      <c r="H59">
        <f t="shared" si="5"/>
        <v>35.299999999999997</v>
      </c>
      <c r="I59">
        <f t="shared" si="5"/>
        <v>-35.299999999999997</v>
      </c>
      <c r="J59">
        <f t="shared" si="5"/>
        <v>-35.299999999999997</v>
      </c>
      <c r="K59">
        <f t="shared" si="5"/>
        <v>35.299999999999997</v>
      </c>
      <c r="L59">
        <f t="shared" si="5"/>
        <v>-35.299999999999997</v>
      </c>
      <c r="M59">
        <f t="shared" si="5"/>
        <v>35.299999999999997</v>
      </c>
      <c r="N59">
        <f t="shared" si="5"/>
        <v>-35.299999999999997</v>
      </c>
      <c r="O59">
        <f t="shared" si="5"/>
        <v>35.299999999999997</v>
      </c>
      <c r="P59">
        <f t="shared" si="5"/>
        <v>-35.299999999999997</v>
      </c>
      <c r="Q59">
        <f t="shared" si="5"/>
        <v>35.299999999999997</v>
      </c>
    </row>
    <row r="60" spans="1:17" ht="17" thickBot="1" x14ac:dyDescent="0.5">
      <c r="A60" s="4" t="s">
        <v>13</v>
      </c>
      <c r="B60" s="4">
        <f t="shared" si="4"/>
        <v>36.400000000000006</v>
      </c>
      <c r="C60">
        <f t="shared" si="5"/>
        <v>36.400000000000006</v>
      </c>
      <c r="D60">
        <f t="shared" si="5"/>
        <v>36.400000000000006</v>
      </c>
      <c r="E60">
        <f t="shared" si="5"/>
        <v>-36.400000000000006</v>
      </c>
      <c r="F60">
        <f t="shared" si="5"/>
        <v>36.400000000000006</v>
      </c>
      <c r="G60">
        <f t="shared" si="5"/>
        <v>36.400000000000006</v>
      </c>
      <c r="H60">
        <f t="shared" si="5"/>
        <v>-36.400000000000006</v>
      </c>
      <c r="I60">
        <f t="shared" si="5"/>
        <v>36.400000000000006</v>
      </c>
      <c r="J60">
        <f t="shared" si="5"/>
        <v>-36.400000000000006</v>
      </c>
      <c r="K60">
        <f t="shared" si="5"/>
        <v>36.400000000000006</v>
      </c>
      <c r="L60">
        <f t="shared" si="5"/>
        <v>-36.400000000000006</v>
      </c>
      <c r="M60">
        <f t="shared" si="5"/>
        <v>-36.400000000000006</v>
      </c>
      <c r="N60">
        <f t="shared" si="5"/>
        <v>36.400000000000006</v>
      </c>
      <c r="O60">
        <f t="shared" si="5"/>
        <v>-36.400000000000006</v>
      </c>
      <c r="P60">
        <f t="shared" si="5"/>
        <v>-36.400000000000006</v>
      </c>
      <c r="Q60">
        <f t="shared" si="5"/>
        <v>-36.400000000000006</v>
      </c>
    </row>
    <row r="61" spans="1:17" ht="17" thickBot="1" x14ac:dyDescent="0.5">
      <c r="A61" s="4" t="s">
        <v>14</v>
      </c>
      <c r="B61" s="4">
        <f t="shared" si="4"/>
        <v>36</v>
      </c>
      <c r="C61">
        <f t="shared" si="5"/>
        <v>-36</v>
      </c>
      <c r="D61">
        <f t="shared" si="5"/>
        <v>-36</v>
      </c>
      <c r="E61">
        <f t="shared" si="5"/>
        <v>36</v>
      </c>
      <c r="F61">
        <f t="shared" si="5"/>
        <v>36</v>
      </c>
      <c r="G61">
        <f t="shared" si="5"/>
        <v>36</v>
      </c>
      <c r="H61">
        <f t="shared" si="5"/>
        <v>-36</v>
      </c>
      <c r="I61">
        <f t="shared" si="5"/>
        <v>-36</v>
      </c>
      <c r="J61">
        <f t="shared" si="5"/>
        <v>-36</v>
      </c>
      <c r="K61">
        <f t="shared" si="5"/>
        <v>-36</v>
      </c>
      <c r="L61">
        <f t="shared" si="5"/>
        <v>36</v>
      </c>
      <c r="M61">
        <f t="shared" si="5"/>
        <v>36</v>
      </c>
      <c r="N61">
        <f t="shared" si="5"/>
        <v>36</v>
      </c>
      <c r="O61">
        <f t="shared" si="5"/>
        <v>-36</v>
      </c>
      <c r="P61">
        <f t="shared" si="5"/>
        <v>-36</v>
      </c>
      <c r="Q61">
        <f t="shared" si="5"/>
        <v>36</v>
      </c>
    </row>
    <row r="62" spans="1:17" ht="17" thickBot="1" x14ac:dyDescent="0.5">
      <c r="A62" s="4" t="s">
        <v>15</v>
      </c>
      <c r="B62" s="4">
        <f t="shared" si="4"/>
        <v>37.5</v>
      </c>
      <c r="C62">
        <f t="shared" si="5"/>
        <v>37.5</v>
      </c>
      <c r="D62">
        <f t="shared" si="5"/>
        <v>-37.5</v>
      </c>
      <c r="E62">
        <f t="shared" si="5"/>
        <v>37.5</v>
      </c>
      <c r="F62">
        <f t="shared" si="5"/>
        <v>37.5</v>
      </c>
      <c r="G62">
        <f t="shared" si="5"/>
        <v>-37.5</v>
      </c>
      <c r="H62">
        <f t="shared" si="5"/>
        <v>37.5</v>
      </c>
      <c r="I62">
        <f t="shared" si="5"/>
        <v>37.5</v>
      </c>
      <c r="J62">
        <f t="shared" si="5"/>
        <v>-37.5</v>
      </c>
      <c r="K62">
        <f t="shared" si="5"/>
        <v>-37.5</v>
      </c>
      <c r="L62">
        <f t="shared" si="5"/>
        <v>37.5</v>
      </c>
      <c r="M62">
        <f t="shared" si="5"/>
        <v>-37.5</v>
      </c>
      <c r="N62">
        <f t="shared" si="5"/>
        <v>-37.5</v>
      </c>
      <c r="O62">
        <f t="shared" si="5"/>
        <v>37.5</v>
      </c>
      <c r="P62">
        <f t="shared" si="5"/>
        <v>-37.5</v>
      </c>
      <c r="Q62">
        <f t="shared" si="5"/>
        <v>-37.5</v>
      </c>
    </row>
    <row r="63" spans="1:17" ht="17" thickBot="1" x14ac:dyDescent="0.5">
      <c r="A63" s="4" t="s">
        <v>16</v>
      </c>
      <c r="B63" s="4">
        <f t="shared" si="4"/>
        <v>36.700000000000003</v>
      </c>
      <c r="C63">
        <f t="shared" si="5"/>
        <v>-36.700000000000003</v>
      </c>
      <c r="D63">
        <f t="shared" si="5"/>
        <v>36.700000000000003</v>
      </c>
      <c r="E63">
        <f t="shared" si="5"/>
        <v>36.700000000000003</v>
      </c>
      <c r="F63">
        <f t="shared" si="5"/>
        <v>36.700000000000003</v>
      </c>
      <c r="G63">
        <f t="shared" si="5"/>
        <v>-36.700000000000003</v>
      </c>
      <c r="H63">
        <f t="shared" si="5"/>
        <v>-36.700000000000003</v>
      </c>
      <c r="I63">
        <f t="shared" si="5"/>
        <v>-36.700000000000003</v>
      </c>
      <c r="J63">
        <f t="shared" si="5"/>
        <v>36.700000000000003</v>
      </c>
      <c r="K63">
        <f t="shared" si="5"/>
        <v>36.700000000000003</v>
      </c>
      <c r="L63">
        <f t="shared" si="5"/>
        <v>36.700000000000003</v>
      </c>
      <c r="M63">
        <f t="shared" si="5"/>
        <v>-36.700000000000003</v>
      </c>
      <c r="N63">
        <f t="shared" si="5"/>
        <v>-36.700000000000003</v>
      </c>
      <c r="O63">
        <f t="shared" si="5"/>
        <v>-36.700000000000003</v>
      </c>
      <c r="P63">
        <f t="shared" si="5"/>
        <v>36.700000000000003</v>
      </c>
      <c r="Q63">
        <f t="shared" si="5"/>
        <v>-36.700000000000003</v>
      </c>
    </row>
    <row r="64" spans="1:17" ht="17" thickBot="1" x14ac:dyDescent="0.5">
      <c r="A64" s="4" t="s">
        <v>17</v>
      </c>
      <c r="B64" s="4">
        <f t="shared" si="4"/>
        <v>39</v>
      </c>
      <c r="C64">
        <f t="shared" si="5"/>
        <v>39</v>
      </c>
      <c r="D64">
        <f t="shared" si="5"/>
        <v>39</v>
      </c>
      <c r="E64">
        <f t="shared" si="5"/>
        <v>39</v>
      </c>
      <c r="F64">
        <f t="shared" si="5"/>
        <v>39</v>
      </c>
      <c r="G64">
        <f t="shared" si="5"/>
        <v>39</v>
      </c>
      <c r="H64">
        <f t="shared" si="5"/>
        <v>39</v>
      </c>
      <c r="I64">
        <f t="shared" si="5"/>
        <v>39</v>
      </c>
      <c r="J64">
        <f t="shared" si="5"/>
        <v>39</v>
      </c>
      <c r="K64">
        <f t="shared" si="5"/>
        <v>39</v>
      </c>
      <c r="L64">
        <f t="shared" si="5"/>
        <v>39</v>
      </c>
      <c r="M64">
        <f t="shared" si="5"/>
        <v>39</v>
      </c>
      <c r="N64">
        <f t="shared" si="5"/>
        <v>39</v>
      </c>
      <c r="O64">
        <f t="shared" si="5"/>
        <v>39</v>
      </c>
      <c r="P64">
        <f t="shared" si="5"/>
        <v>39</v>
      </c>
      <c r="Q64">
        <f t="shared" si="5"/>
        <v>39</v>
      </c>
    </row>
    <row r="65" spans="2:24" ht="17" thickBot="1" x14ac:dyDescent="0.5"/>
    <row r="66" spans="2:24" ht="17" thickBot="1" x14ac:dyDescent="0.5">
      <c r="B66"/>
      <c r="C66" s="4" t="s">
        <v>19</v>
      </c>
      <c r="D66" s="4" t="s">
        <v>20</v>
      </c>
      <c r="E66" s="4" t="s">
        <v>21</v>
      </c>
      <c r="F66" s="4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4" t="s">
        <v>28</v>
      </c>
      <c r="M66" s="4" t="s">
        <v>29</v>
      </c>
      <c r="N66" s="4" t="s">
        <v>30</v>
      </c>
      <c r="O66" s="4" t="s">
        <v>31</v>
      </c>
      <c r="P66" s="4" t="s">
        <v>32</v>
      </c>
      <c r="Q66" s="22" t="s">
        <v>33</v>
      </c>
      <c r="S66" t="s">
        <v>42</v>
      </c>
      <c r="T66">
        <f>SUMSQ(B3:B10,D3:D10,F3:F10,H3:H10)</f>
        <v>10063.479999999998</v>
      </c>
    </row>
    <row r="67" spans="2:24" x14ac:dyDescent="0.45">
      <c r="B67" s="10" t="s">
        <v>37</v>
      </c>
      <c r="C67">
        <f>SUM(C49:C64)</f>
        <v>8</v>
      </c>
      <c r="D67">
        <f>SUM(D49:D64)</f>
        <v>4</v>
      </c>
      <c r="E67">
        <f>SUM(E49:E64)</f>
        <v>12.000000000000014</v>
      </c>
      <c r="F67">
        <f>SUM(F49:F64)</f>
        <v>16.000000000000043</v>
      </c>
      <c r="G67">
        <f>SUM(G49:G64)</f>
        <v>4.0000000000000071</v>
      </c>
      <c r="H67">
        <f>SUM(H49:H64)</f>
        <v>3.2000000000000028</v>
      </c>
      <c r="I67">
        <f>SUM(I49:I64)</f>
        <v>4.7999999999999972</v>
      </c>
      <c r="J67">
        <f>SUM(J49:J64)</f>
        <v>4</v>
      </c>
      <c r="K67">
        <f>SUM(K49:K64)</f>
        <v>3.1999999999999886</v>
      </c>
      <c r="L67">
        <f>SUM(L49:L64)</f>
        <v>2.3999999999999915</v>
      </c>
      <c r="M67">
        <f>SUM(M49:M64)</f>
        <v>-8.0000000000000213</v>
      </c>
      <c r="N67">
        <f>SUM(N49:N64)</f>
        <v>-3.1999999999999815</v>
      </c>
      <c r="O67">
        <f>SUM(O49:O64)</f>
        <v>-0.80000000000001137</v>
      </c>
      <c r="P67">
        <f>SUM(P49:P64)</f>
        <v>-2.3999999999999773</v>
      </c>
      <c r="Q67" s="23">
        <f>SUM(Q49:Q64)</f>
        <v>10.399999999999984</v>
      </c>
      <c r="S67" s="18" t="s">
        <v>43</v>
      </c>
      <c r="T67" s="18">
        <f>SUM(B3:B10,D3:D10,F3:F10,H3:H10)^2</f>
        <v>320808.95999999996</v>
      </c>
      <c r="U67" s="18"/>
      <c r="V67" s="18"/>
    </row>
    <row r="68" spans="2:24" x14ac:dyDescent="0.45">
      <c r="B68" t="s">
        <v>38</v>
      </c>
      <c r="C68">
        <f>(2^(4-1))*(2)</f>
        <v>16</v>
      </c>
      <c r="D68">
        <f t="shared" ref="D68:Q68" si="6">(2^(4-1))*(2)</f>
        <v>16</v>
      </c>
      <c r="E68">
        <f t="shared" si="6"/>
        <v>16</v>
      </c>
      <c r="F68">
        <f t="shared" si="6"/>
        <v>16</v>
      </c>
      <c r="G68">
        <f t="shared" si="6"/>
        <v>16</v>
      </c>
      <c r="H68">
        <f t="shared" si="6"/>
        <v>16</v>
      </c>
      <c r="I68">
        <f t="shared" si="6"/>
        <v>16</v>
      </c>
      <c r="J68">
        <f t="shared" si="6"/>
        <v>16</v>
      </c>
      <c r="K68">
        <f t="shared" si="6"/>
        <v>16</v>
      </c>
      <c r="L68">
        <f t="shared" si="6"/>
        <v>16</v>
      </c>
      <c r="M68">
        <f t="shared" si="6"/>
        <v>16</v>
      </c>
      <c r="N68">
        <f t="shared" si="6"/>
        <v>16</v>
      </c>
      <c r="O68">
        <f t="shared" si="6"/>
        <v>16</v>
      </c>
      <c r="P68">
        <f t="shared" si="6"/>
        <v>16</v>
      </c>
      <c r="Q68" s="23">
        <f t="shared" si="6"/>
        <v>16</v>
      </c>
      <c r="S68" s="18" t="s">
        <v>45</v>
      </c>
      <c r="T68" s="18">
        <f>2^4*2</f>
        <v>32</v>
      </c>
      <c r="U68" s="18"/>
      <c r="V68" s="18"/>
    </row>
    <row r="69" spans="2:24" x14ac:dyDescent="0.45">
      <c r="B69" s="1" t="s">
        <v>39</v>
      </c>
      <c r="C69" s="1">
        <f>C67/C68</f>
        <v>0.5</v>
      </c>
      <c r="D69" s="1">
        <f t="shared" ref="D69:Q69" si="7">D67/D68</f>
        <v>0.25</v>
      </c>
      <c r="E69" s="1">
        <f t="shared" si="7"/>
        <v>0.75000000000000089</v>
      </c>
      <c r="F69" s="1">
        <f t="shared" si="7"/>
        <v>1.0000000000000027</v>
      </c>
      <c r="G69" s="1">
        <f t="shared" si="7"/>
        <v>0.25000000000000044</v>
      </c>
      <c r="H69" s="1">
        <f t="shared" si="7"/>
        <v>0.20000000000000018</v>
      </c>
      <c r="I69" s="1">
        <f t="shared" si="7"/>
        <v>0.29999999999999982</v>
      </c>
      <c r="J69" s="1">
        <f t="shared" si="7"/>
        <v>0.25</v>
      </c>
      <c r="K69" s="1">
        <f t="shared" si="7"/>
        <v>0.19999999999999929</v>
      </c>
      <c r="L69" s="1">
        <f t="shared" si="7"/>
        <v>0.14999999999999947</v>
      </c>
      <c r="M69" s="1">
        <f t="shared" si="7"/>
        <v>-0.50000000000000133</v>
      </c>
      <c r="N69" s="1">
        <f t="shared" si="7"/>
        <v>-0.19999999999999885</v>
      </c>
      <c r="O69" s="1">
        <f t="shared" si="7"/>
        <v>-5.0000000000000711E-2</v>
      </c>
      <c r="P69" s="1">
        <f t="shared" si="7"/>
        <v>-0.14999999999999858</v>
      </c>
      <c r="Q69" s="17">
        <f t="shared" si="7"/>
        <v>0.64999999999999902</v>
      </c>
      <c r="S69" s="18" t="s">
        <v>59</v>
      </c>
      <c r="T69" s="18">
        <f>SUM(B3:B10,D3:D10)^2</f>
        <v>76231.210000000006</v>
      </c>
      <c r="U69" s="18"/>
      <c r="V69" s="18"/>
    </row>
    <row r="70" spans="2:24" x14ac:dyDescent="0.45">
      <c r="B70" t="s">
        <v>41</v>
      </c>
      <c r="C70">
        <f>(2^4)*2</f>
        <v>32</v>
      </c>
      <c r="D70">
        <f t="shared" ref="D70:Q70" si="8">(2^4)*2</f>
        <v>32</v>
      </c>
      <c r="E70">
        <f t="shared" si="8"/>
        <v>32</v>
      </c>
      <c r="F70">
        <f t="shared" si="8"/>
        <v>32</v>
      </c>
      <c r="G70">
        <f t="shared" si="8"/>
        <v>32</v>
      </c>
      <c r="H70">
        <f t="shared" si="8"/>
        <v>32</v>
      </c>
      <c r="I70">
        <f t="shared" si="8"/>
        <v>32</v>
      </c>
      <c r="J70">
        <f t="shared" si="8"/>
        <v>32</v>
      </c>
      <c r="K70">
        <f t="shared" si="8"/>
        <v>32</v>
      </c>
      <c r="L70">
        <f t="shared" si="8"/>
        <v>32</v>
      </c>
      <c r="M70">
        <f t="shared" si="8"/>
        <v>32</v>
      </c>
      <c r="N70">
        <f t="shared" si="8"/>
        <v>32</v>
      </c>
      <c r="O70">
        <f t="shared" si="8"/>
        <v>32</v>
      </c>
      <c r="P70">
        <f t="shared" si="8"/>
        <v>32</v>
      </c>
      <c r="Q70" s="23">
        <f t="shared" si="8"/>
        <v>32</v>
      </c>
      <c r="S70" s="18" t="s">
        <v>60</v>
      </c>
      <c r="T70" s="18">
        <f>SUM(F3:F10,H3:H10)^2</f>
        <v>84274.090000000011</v>
      </c>
      <c r="U70" s="18"/>
      <c r="V70" s="18"/>
    </row>
    <row r="71" spans="2:24" x14ac:dyDescent="0.45">
      <c r="B71" t="s">
        <v>40</v>
      </c>
      <c r="C71" s="11">
        <f>(C67^2)/C70</f>
        <v>2</v>
      </c>
      <c r="D71" s="11">
        <f t="shared" ref="D71:Q71" si="9">(D67^2)/D70</f>
        <v>0.5</v>
      </c>
      <c r="E71" s="11">
        <f t="shared" si="9"/>
        <v>4.5000000000000107</v>
      </c>
      <c r="F71" s="11">
        <f t="shared" si="9"/>
        <v>8.0000000000000426</v>
      </c>
      <c r="G71" s="11">
        <f t="shared" si="9"/>
        <v>0.50000000000000178</v>
      </c>
      <c r="H71" s="11">
        <f t="shared" si="9"/>
        <v>0.32000000000000056</v>
      </c>
      <c r="I71" s="11">
        <f t="shared" si="9"/>
        <v>0.7199999999999992</v>
      </c>
      <c r="J71" s="11">
        <f t="shared" si="9"/>
        <v>0.5</v>
      </c>
      <c r="K71" s="11">
        <f t="shared" si="9"/>
        <v>0.31999999999999773</v>
      </c>
      <c r="L71" s="11">
        <f t="shared" si="9"/>
        <v>0.17999999999999872</v>
      </c>
      <c r="M71" s="11">
        <f t="shared" si="9"/>
        <v>2.0000000000000107</v>
      </c>
      <c r="N71" s="11">
        <f t="shared" si="9"/>
        <v>0.31999999999999629</v>
      </c>
      <c r="O71" s="11">
        <f t="shared" si="9"/>
        <v>2.0000000000000569E-2</v>
      </c>
      <c r="P71" s="11">
        <f t="shared" si="9"/>
        <v>0.17999999999999658</v>
      </c>
      <c r="Q71" s="16">
        <f t="shared" si="9"/>
        <v>3.3799999999999897</v>
      </c>
      <c r="S71" s="18" t="s">
        <v>58</v>
      </c>
      <c r="T71" s="18">
        <f>((T70+T69)/(2^4)*1)-(T67/T68)</f>
        <v>6.3012500000022555</v>
      </c>
      <c r="U71" s="18" t="s">
        <v>69</v>
      </c>
      <c r="V71" s="20">
        <f>T71/1</f>
        <v>6.3012500000022555</v>
      </c>
      <c r="W71" s="1" t="s">
        <v>70</v>
      </c>
      <c r="X71" s="21">
        <f>V71/$T$82</f>
        <v>11.813525276206693</v>
      </c>
    </row>
    <row r="72" spans="2:24" x14ac:dyDescent="0.45">
      <c r="B72" t="s">
        <v>47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 s="23">
        <v>1</v>
      </c>
      <c r="S72" s="18" t="s">
        <v>68</v>
      </c>
      <c r="T72" s="18">
        <v>1</v>
      </c>
      <c r="U72" s="18"/>
      <c r="V72" s="18"/>
      <c r="X72" s="21"/>
    </row>
    <row r="73" spans="2:24" x14ac:dyDescent="0.45">
      <c r="B73" t="s">
        <v>48</v>
      </c>
      <c r="C73" s="11">
        <f>C71/C72</f>
        <v>2</v>
      </c>
      <c r="D73" s="11">
        <f t="shared" ref="D73:Q73" si="10">D71/D72</f>
        <v>0.5</v>
      </c>
      <c r="E73" s="11">
        <f t="shared" si="10"/>
        <v>4.5000000000000107</v>
      </c>
      <c r="F73" s="11">
        <f t="shared" si="10"/>
        <v>8.0000000000000426</v>
      </c>
      <c r="G73" s="11">
        <f t="shared" si="10"/>
        <v>0.50000000000000178</v>
      </c>
      <c r="H73" s="11">
        <f t="shared" si="10"/>
        <v>0.32000000000000056</v>
      </c>
      <c r="I73" s="11">
        <f t="shared" si="10"/>
        <v>0.7199999999999992</v>
      </c>
      <c r="J73" s="11">
        <f t="shared" si="10"/>
        <v>0.5</v>
      </c>
      <c r="K73" s="11">
        <f t="shared" si="10"/>
        <v>0.31999999999999773</v>
      </c>
      <c r="L73" s="11">
        <f t="shared" si="10"/>
        <v>0.17999999999999872</v>
      </c>
      <c r="M73" s="11">
        <f t="shared" si="10"/>
        <v>2.0000000000000107</v>
      </c>
      <c r="N73" s="11">
        <f t="shared" si="10"/>
        <v>0.31999999999999629</v>
      </c>
      <c r="O73" s="11">
        <f t="shared" si="10"/>
        <v>2.0000000000000569E-2</v>
      </c>
      <c r="P73" s="11">
        <f t="shared" si="10"/>
        <v>0.17999999999999658</v>
      </c>
      <c r="Q73" s="16">
        <f t="shared" si="10"/>
        <v>3.3799999999999897</v>
      </c>
      <c r="S73" s="18" t="s">
        <v>62</v>
      </c>
      <c r="T73" s="18">
        <f>SUM(B3:B10)^2</f>
        <v>19572.010000000002</v>
      </c>
      <c r="U73" s="18"/>
      <c r="V73" s="18"/>
      <c r="X73" s="21"/>
    </row>
    <row r="74" spans="2:24" x14ac:dyDescent="0.45">
      <c r="B74" t="s">
        <v>49</v>
      </c>
      <c r="C74" s="11">
        <f>C73/$T$82</f>
        <v>3.7495815199214331</v>
      </c>
      <c r="D74" s="11">
        <f>D73/$T$82</f>
        <v>0.93739537998035827</v>
      </c>
      <c r="E74" s="24">
        <f>E73/$T$82</f>
        <v>8.4365584198232444</v>
      </c>
      <c r="F74" s="24">
        <f>F73/$T$82</f>
        <v>14.998326079685812</v>
      </c>
      <c r="G74" s="11">
        <f>G73/$T$82</f>
        <v>0.9373953799803616</v>
      </c>
      <c r="H74" s="11">
        <f>H73/$T$82</f>
        <v>0.59993304318743035</v>
      </c>
      <c r="I74" s="11">
        <f>I73/$T$82</f>
        <v>1.3498493471717143</v>
      </c>
      <c r="J74" s="11">
        <f>J73/$T$82</f>
        <v>0.93739537998035827</v>
      </c>
      <c r="K74" s="11">
        <f>K73/$T$82</f>
        <v>0.59993304318742502</v>
      </c>
      <c r="L74" s="11">
        <f>L73/$T$82</f>
        <v>0.33746233679292659</v>
      </c>
      <c r="M74" s="11">
        <f>M73/$T$82</f>
        <v>3.7495815199214531</v>
      </c>
      <c r="N74" s="11">
        <f>N73/$T$82</f>
        <v>0.59993304318742235</v>
      </c>
      <c r="O74" s="11">
        <f>O73/$T$82</f>
        <v>3.7495815199215396E-2</v>
      </c>
      <c r="P74" s="11">
        <f>P73/$T$82</f>
        <v>0.33746233679292253</v>
      </c>
      <c r="Q74" s="16">
        <f>Q73/$T$82</f>
        <v>6.3367927686672028</v>
      </c>
      <c r="S74" s="18" t="s">
        <v>63</v>
      </c>
      <c r="T74" s="18">
        <f>SUM(D3:D10)^2</f>
        <v>18550.439999999999</v>
      </c>
      <c r="U74" s="18"/>
      <c r="V74" s="18"/>
      <c r="X74" s="21"/>
    </row>
    <row r="75" spans="2:24" x14ac:dyDescent="0.45">
      <c r="B75" t="s">
        <v>71</v>
      </c>
      <c r="C75" s="11">
        <f>_xlfn.F.INV(0.95,1,14)</f>
        <v>4.60010993666942</v>
      </c>
      <c r="D75" s="11">
        <f t="shared" ref="D75:Q75" si="11">_xlfn.F.INV(0.95,1,14)</f>
        <v>4.60010993666942</v>
      </c>
      <c r="E75" s="11">
        <f t="shared" si="11"/>
        <v>4.60010993666942</v>
      </c>
      <c r="F75" s="11">
        <f t="shared" si="11"/>
        <v>4.60010993666942</v>
      </c>
      <c r="G75" s="11">
        <f t="shared" si="11"/>
        <v>4.60010993666942</v>
      </c>
      <c r="H75" s="11">
        <f t="shared" si="11"/>
        <v>4.60010993666942</v>
      </c>
      <c r="I75" s="11">
        <f t="shared" si="11"/>
        <v>4.60010993666942</v>
      </c>
      <c r="J75" s="11">
        <f t="shared" si="11"/>
        <v>4.60010993666942</v>
      </c>
      <c r="K75" s="11">
        <f t="shared" si="11"/>
        <v>4.60010993666942</v>
      </c>
      <c r="L75" s="11">
        <f t="shared" si="11"/>
        <v>4.60010993666942</v>
      </c>
      <c r="M75" s="11">
        <f t="shared" si="11"/>
        <v>4.60010993666942</v>
      </c>
      <c r="N75" s="11">
        <f t="shared" si="11"/>
        <v>4.60010993666942</v>
      </c>
      <c r="O75" s="11">
        <f>_xlfn.F.INV(0.95,1,14)</f>
        <v>4.60010993666942</v>
      </c>
      <c r="P75" s="11">
        <f t="shared" si="11"/>
        <v>4.60010993666942</v>
      </c>
      <c r="Q75" s="16">
        <f t="shared" si="11"/>
        <v>4.60010993666942</v>
      </c>
      <c r="S75" s="18" t="s">
        <v>64</v>
      </c>
      <c r="T75" s="18">
        <f>SUM(F3:F10)^2</f>
        <v>22171.210000000003</v>
      </c>
      <c r="U75" s="18"/>
      <c r="V75" s="18"/>
      <c r="X75" s="21"/>
    </row>
    <row r="76" spans="2:24" x14ac:dyDescent="0.45">
      <c r="B76" t="s">
        <v>51</v>
      </c>
      <c r="C76" t="str">
        <f>IF(C74&gt;C75,"Reject H0","Accept H0")</f>
        <v>Accept H0</v>
      </c>
      <c r="D76" t="str">
        <f t="shared" ref="D76:Q76" si="12">IF(D74&gt;D75,"Reject H0","Accept H0")</f>
        <v>Accept H0</v>
      </c>
      <c r="E76" t="str">
        <f t="shared" si="12"/>
        <v>Reject H0</v>
      </c>
      <c r="F76" t="str">
        <f t="shared" si="12"/>
        <v>Reject H0</v>
      </c>
      <c r="G76" t="str">
        <f t="shared" si="12"/>
        <v>Accept H0</v>
      </c>
      <c r="H76" t="str">
        <f t="shared" si="12"/>
        <v>Accept H0</v>
      </c>
      <c r="I76" t="str">
        <f t="shared" si="12"/>
        <v>Accept H0</v>
      </c>
      <c r="J76" t="str">
        <f t="shared" si="12"/>
        <v>Accept H0</v>
      </c>
      <c r="K76" t="str">
        <f t="shared" si="12"/>
        <v>Accept H0</v>
      </c>
      <c r="L76" t="str">
        <f t="shared" si="12"/>
        <v>Accept H0</v>
      </c>
      <c r="M76" t="str">
        <f t="shared" si="12"/>
        <v>Accept H0</v>
      </c>
      <c r="N76" t="str">
        <f t="shared" si="12"/>
        <v>Accept H0</v>
      </c>
      <c r="O76" t="str">
        <f t="shared" si="12"/>
        <v>Accept H0</v>
      </c>
      <c r="P76" t="str">
        <f t="shared" si="12"/>
        <v>Accept H0</v>
      </c>
      <c r="Q76"/>
      <c r="S76" s="18" t="s">
        <v>65</v>
      </c>
      <c r="T76" s="18">
        <f>SUM(H3:H10)^2</f>
        <v>19993.960000000003</v>
      </c>
      <c r="U76" s="18"/>
      <c r="V76" s="18"/>
      <c r="X76" s="21"/>
    </row>
    <row r="77" spans="2:24" x14ac:dyDescent="0.45">
      <c r="B77" t="s">
        <v>52</v>
      </c>
      <c r="C77" t="str">
        <f>IF(C76 = "Reject H0","มีผล","ไม่มีผล")</f>
        <v>ไม่มีผล</v>
      </c>
      <c r="D77" t="str">
        <f t="shared" ref="D77:Q77" si="13">IF(D76 = "Reject H0","มีผล","ไม่มีผล")</f>
        <v>ไม่มีผล</v>
      </c>
      <c r="E77" t="str">
        <f t="shared" si="13"/>
        <v>มีผล</v>
      </c>
      <c r="F77" t="str">
        <f t="shared" si="13"/>
        <v>มีผล</v>
      </c>
      <c r="G77" t="str">
        <f t="shared" si="13"/>
        <v>ไม่มีผล</v>
      </c>
      <c r="H77" t="str">
        <f t="shared" si="13"/>
        <v>ไม่มีผล</v>
      </c>
      <c r="I77" t="str">
        <f t="shared" si="13"/>
        <v>ไม่มีผล</v>
      </c>
      <c r="J77" t="str">
        <f t="shared" si="13"/>
        <v>ไม่มีผล</v>
      </c>
      <c r="K77" t="str">
        <f t="shared" si="13"/>
        <v>ไม่มีผล</v>
      </c>
      <c r="L77" t="str">
        <f t="shared" si="13"/>
        <v>ไม่มีผล</v>
      </c>
      <c r="M77" t="str">
        <f t="shared" si="13"/>
        <v>ไม่มีผล</v>
      </c>
      <c r="N77" t="str">
        <f t="shared" si="13"/>
        <v>ไม่มีผล</v>
      </c>
      <c r="O77" t="str">
        <f t="shared" si="13"/>
        <v>ไม่มีผล</v>
      </c>
      <c r="P77" t="str">
        <f t="shared" si="13"/>
        <v>ไม่มีผล</v>
      </c>
      <c r="Q77"/>
      <c r="S77" s="18" t="s">
        <v>61</v>
      </c>
      <c r="T77" s="20">
        <f>(SUM(T73:T76)/8 - (T67/T68))-T71</f>
        <v>4.3712500000001455</v>
      </c>
      <c r="U77" s="18" t="s">
        <v>66</v>
      </c>
      <c r="V77" s="20">
        <f>T77/2</f>
        <v>2.1856250000000728</v>
      </c>
      <c r="W77" s="1" t="s">
        <v>70</v>
      </c>
      <c r="X77" s="21">
        <f>V77/$T$82</f>
        <v>4.0975895547392778</v>
      </c>
    </row>
    <row r="78" spans="2:24" x14ac:dyDescent="0.45">
      <c r="S78" s="18" t="s">
        <v>67</v>
      </c>
      <c r="T78" s="18">
        <v>2</v>
      </c>
      <c r="U78" s="18"/>
      <c r="V78" s="18"/>
    </row>
    <row r="79" spans="2:24" x14ac:dyDescent="0.45">
      <c r="S79" s="18" t="s">
        <v>44</v>
      </c>
      <c r="T79" s="18">
        <f>T66-(T67/T68)</f>
        <v>38.199999999998909</v>
      </c>
      <c r="U79" s="18"/>
      <c r="V79" s="18"/>
    </row>
    <row r="80" spans="2:24" x14ac:dyDescent="0.45">
      <c r="S80" s="18" t="s">
        <v>46</v>
      </c>
      <c r="T80" s="19">
        <f>T79-SUM(C71:P71)-T77-T71</f>
        <v>7.467499999996452</v>
      </c>
      <c r="U80" s="18"/>
      <c r="V80" s="18"/>
    </row>
    <row r="81" spans="12:22" x14ac:dyDescent="0.45">
      <c r="S81" s="18" t="s">
        <v>47</v>
      </c>
      <c r="T81" s="18">
        <v>14</v>
      </c>
      <c r="U81" s="18"/>
      <c r="V81" s="18"/>
    </row>
    <row r="82" spans="12:22" x14ac:dyDescent="0.45">
      <c r="S82" s="18" t="s">
        <v>48</v>
      </c>
      <c r="T82" s="20">
        <f>T80/T81</f>
        <v>0.53339285714260376</v>
      </c>
      <c r="U82" s="18"/>
      <c r="V82" s="18"/>
    </row>
    <row r="83" spans="12:22" x14ac:dyDescent="0.45">
      <c r="L83" s="1">
        <f>79-25</f>
        <v>54</v>
      </c>
    </row>
  </sheetData>
  <mergeCells count="6">
    <mergeCell ref="A1:D1"/>
    <mergeCell ref="A2:B2"/>
    <mergeCell ref="C2:D2"/>
    <mergeCell ref="E1:H1"/>
    <mergeCell ref="E2:F2"/>
    <mergeCell ref="G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 2</vt:lpstr>
      <vt:lpstr>ข้อ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2026-05-05T10:14:32Z</dcterms:created>
  <dcterms:modified xsi:type="dcterms:W3CDTF">2026-05-05T16:40:01Z</dcterms:modified>
</cp:coreProperties>
</file>