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421 Design of Experiment\"/>
    </mc:Choice>
  </mc:AlternateContent>
  <xr:revisionPtr revIDLastSave="0" documentId="8_{DFFABA04-91C6-42BB-9B73-B95D6A881B0D}" xr6:coauthVersionLast="47" xr6:coauthVersionMax="47" xr10:uidLastSave="{00000000-0000-0000-0000-000000000000}"/>
  <bookViews>
    <workbookView xWindow="-110" yWindow="-110" windowWidth="19420" windowHeight="11500" activeTab="1" xr2:uid="{94F74B71-7C61-4252-980A-BC1E4AD01B45}"/>
  </bookViews>
  <sheets>
    <sheet name="Sheet1" sheetId="1" r:id="rId1"/>
    <sheet name="Sheet4" sheetId="4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 a="1"/>
  <c r="F31" i="5"/>
  <c r="C27" i="5"/>
  <c r="C26" i="5"/>
  <c r="C25" i="5"/>
  <c r="C24" i="5"/>
  <c r="C23" i="5"/>
  <c r="C22" i="5"/>
  <c r="J19" i="5"/>
  <c r="O5" i="5"/>
  <c r="G20" i="5"/>
  <c r="G19" i="5"/>
  <c r="H19" i="5"/>
  <c r="C21" i="5"/>
  <c r="C23" i="4"/>
  <c r="P4" i="5"/>
  <c r="P5" i="5"/>
  <c r="P3" i="5"/>
  <c r="O4" i="5"/>
  <c r="O3" i="5"/>
  <c r="L6" i="5"/>
  <c r="L9" i="5"/>
  <c r="L12" i="5"/>
  <c r="L3" i="5"/>
  <c r="K6" i="5"/>
  <c r="K9" i="5"/>
  <c r="K12" i="5"/>
  <c r="K3" i="5"/>
  <c r="R19" i="5"/>
  <c r="R22" i="5"/>
  <c r="R25" i="5"/>
  <c r="R28" i="5"/>
  <c r="P19" i="5"/>
  <c r="Q19" i="5"/>
  <c r="P22" i="5"/>
  <c r="Q22" i="5"/>
  <c r="P25" i="5"/>
  <c r="Q25" i="5"/>
  <c r="P28" i="5"/>
  <c r="Q28" i="5"/>
  <c r="O22" i="5"/>
  <c r="O25" i="5"/>
  <c r="O28" i="5"/>
  <c r="O19" i="5"/>
  <c r="J22" i="5"/>
  <c r="K22" i="5"/>
  <c r="L22" i="5"/>
  <c r="M22" i="5"/>
  <c r="J25" i="5"/>
  <c r="K25" i="5"/>
  <c r="L25" i="5"/>
  <c r="M25" i="5"/>
  <c r="J28" i="5"/>
  <c r="K28" i="5"/>
  <c r="L28" i="5"/>
  <c r="M28" i="5"/>
  <c r="M19" i="5"/>
  <c r="K19" i="5"/>
  <c r="L19" i="5"/>
  <c r="H16" i="5"/>
  <c r="I4" i="5"/>
  <c r="I5" i="5"/>
  <c r="I6" i="5"/>
  <c r="I7" i="5"/>
  <c r="I8" i="5"/>
  <c r="I9" i="5"/>
  <c r="I10" i="5"/>
  <c r="I11" i="5"/>
  <c r="I12" i="5"/>
  <c r="I13" i="5"/>
  <c r="I14" i="5"/>
  <c r="I3" i="5"/>
  <c r="H4" i="5"/>
  <c r="H5" i="5"/>
  <c r="H6" i="5"/>
  <c r="H7" i="5"/>
  <c r="H8" i="5"/>
  <c r="H9" i="5"/>
  <c r="H10" i="5"/>
  <c r="H11" i="5"/>
  <c r="H12" i="5"/>
  <c r="H13" i="5"/>
  <c r="H14" i="5"/>
  <c r="H3" i="5"/>
  <c r="D17" i="5"/>
  <c r="E17" i="5"/>
  <c r="F17" i="5"/>
  <c r="C17" i="5"/>
  <c r="D16" i="5"/>
  <c r="E16" i="5"/>
  <c r="F16" i="5"/>
  <c r="C16" i="5"/>
  <c r="D38" i="4"/>
  <c r="C38" i="4"/>
  <c r="B38" i="4"/>
  <c r="C35" i="4"/>
  <c r="D35" i="4"/>
  <c r="B35" i="4"/>
  <c r="C32" i="4"/>
  <c r="B32" i="4"/>
  <c r="L25" i="4"/>
  <c r="C27" i="4"/>
  <c r="C26" i="4"/>
  <c r="C25" i="4"/>
  <c r="H27" i="4"/>
  <c r="G27" i="4"/>
  <c r="I27" i="4"/>
  <c r="G29" i="4"/>
  <c r="H29" i="4"/>
  <c r="I29" i="4"/>
  <c r="H25" i="4"/>
  <c r="I25" i="4"/>
  <c r="G25" i="4"/>
  <c r="C24" i="4"/>
  <c r="C14" i="4"/>
  <c r="H20" i="4"/>
  <c r="H18" i="4"/>
  <c r="G20" i="4"/>
  <c r="G18" i="4"/>
  <c r="H16" i="4"/>
  <c r="G16" i="4"/>
  <c r="L14" i="4"/>
  <c r="M14" i="4"/>
  <c r="N14" i="4"/>
  <c r="O14" i="4"/>
  <c r="P14" i="4"/>
  <c r="Q14" i="4"/>
  <c r="L16" i="4"/>
  <c r="M16" i="4"/>
  <c r="N16" i="4"/>
  <c r="O16" i="4"/>
  <c r="P16" i="4"/>
  <c r="Q16" i="4"/>
  <c r="Q12" i="4"/>
  <c r="M12" i="4"/>
  <c r="N12" i="4"/>
  <c r="O12" i="4"/>
  <c r="P12" i="4"/>
  <c r="L12" i="4"/>
  <c r="L6" i="4"/>
  <c r="M6" i="4"/>
  <c r="N6" i="4"/>
  <c r="O6" i="4"/>
  <c r="P6" i="4"/>
  <c r="Q6" i="4"/>
  <c r="L8" i="4"/>
  <c r="M8" i="4"/>
  <c r="N8" i="4"/>
  <c r="O8" i="4"/>
  <c r="P8" i="4"/>
  <c r="Q8" i="4"/>
  <c r="M4" i="4"/>
  <c r="N4" i="4"/>
  <c r="O4" i="4"/>
  <c r="P4" i="4"/>
  <c r="Q4" i="4"/>
  <c r="L4" i="4"/>
  <c r="I10" i="4"/>
  <c r="C18" i="4" s="1"/>
  <c r="F11" i="4"/>
  <c r="C11" i="4"/>
  <c r="C20" i="4" s="1"/>
  <c r="J6" i="4"/>
  <c r="J8" i="4"/>
  <c r="J4" i="4"/>
  <c r="C22" i="4" s="1"/>
  <c r="I5" i="4"/>
  <c r="I6" i="4"/>
  <c r="I7" i="4"/>
  <c r="I8" i="4"/>
  <c r="I9" i="4"/>
  <c r="I4" i="4"/>
  <c r="H10" i="4"/>
  <c r="G10" i="4"/>
  <c r="F10" i="4"/>
  <c r="E10" i="4"/>
  <c r="E14" i="4" s="1"/>
  <c r="D10" i="4"/>
  <c r="D14" i="4" s="1"/>
  <c r="C10" i="4"/>
  <c r="C17" i="1"/>
  <c r="C14" i="1"/>
  <c r="C13" i="1"/>
  <c r="C12" i="1"/>
  <c r="C11" i="1"/>
  <c r="C10" i="1"/>
  <c r="C9" i="1"/>
  <c r="I4" i="1"/>
  <c r="H4" i="1"/>
  <c r="G4" i="1"/>
  <c r="H2" i="1"/>
  <c r="I2" i="1"/>
  <c r="G2" i="1"/>
  <c r="E4" i="1"/>
  <c r="E6" i="1" s="1"/>
  <c r="C6" i="1"/>
  <c r="D6" i="1"/>
  <c r="B6" i="1"/>
  <c r="E2" i="1"/>
  <c r="K2" i="1"/>
  <c r="L2" i="1"/>
  <c r="M2" i="1"/>
  <c r="K4" i="1"/>
  <c r="M4" i="1"/>
  <c r="L4" i="1"/>
  <c r="C21" i="4" l="1"/>
  <c r="C1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<sst xmlns="http://schemas.openxmlformats.org/spreadsheetml/2006/main" count="76" uniqueCount="50">
  <si>
    <t>"100"</t>
  </si>
  <si>
    <t>"500"</t>
  </si>
  <si>
    <t>"1000"</t>
  </si>
  <si>
    <t>SST</t>
  </si>
  <si>
    <t>average</t>
  </si>
  <si>
    <t>sum ttt</t>
  </si>
  <si>
    <t>SSt</t>
  </si>
  <si>
    <t>SSA</t>
  </si>
  <si>
    <t>SSB</t>
  </si>
  <si>
    <t>SSAB</t>
  </si>
  <si>
    <t>SSE</t>
  </si>
  <si>
    <t>การใส่ปุ๋ย (A)</t>
  </si>
  <si>
    <t>พันธุ์ข้าว (B)</t>
  </si>
  <si>
    <t>ปุ๋ย ©</t>
  </si>
  <si>
    <t>1 ครั้ง</t>
  </si>
  <si>
    <t>2 ครั้ง</t>
  </si>
  <si>
    <t>รวม</t>
  </si>
  <si>
    <t>"1"</t>
  </si>
  <si>
    <t>"2"</t>
  </si>
  <si>
    <t>"3"</t>
  </si>
  <si>
    <t>average ttt</t>
  </si>
  <si>
    <t>รวม B</t>
  </si>
  <si>
    <t>SSC</t>
  </si>
  <si>
    <t>SSAC</t>
  </si>
  <si>
    <t>A = 1</t>
  </si>
  <si>
    <t>A = 2</t>
  </si>
  <si>
    <t>C = 1</t>
  </si>
  <si>
    <t>C = 2</t>
  </si>
  <si>
    <t>C = 3</t>
  </si>
  <si>
    <t>SSBC</t>
  </si>
  <si>
    <t>B = 1</t>
  </si>
  <si>
    <t>B = 2</t>
  </si>
  <si>
    <t>B = 3</t>
  </si>
  <si>
    <t>SSABC</t>
  </si>
  <si>
    <t>sum AC</t>
  </si>
  <si>
    <t>sum BC</t>
  </si>
  <si>
    <t>average A</t>
  </si>
  <si>
    <t>average B</t>
  </si>
  <si>
    <t>average C</t>
  </si>
  <si>
    <t>พันธุ์ข้าวโพด</t>
  </si>
  <si>
    <t>สูตรปุ๋ย</t>
  </si>
  <si>
    <t>บล็อก</t>
  </si>
  <si>
    <t>sum Block</t>
  </si>
  <si>
    <t>average Block</t>
  </si>
  <si>
    <t>sum A</t>
  </si>
  <si>
    <t>sumB</t>
  </si>
  <si>
    <t>sum ttt * block</t>
  </si>
  <si>
    <t>average ttt * block</t>
  </si>
  <si>
    <t>sum  ttt</t>
  </si>
  <si>
    <t>SSBlock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</si>
</sst>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Sheet1!$K$2:$M$2</c:f>
              <c:numCache>
                <c:formatCode>General</c:formatCode>
                <c:ptCount val="3"/>
                <c:pt idx="0">
                  <c:v>2.04</c:v>
                </c:pt>
                <c:pt idx="1">
                  <c:v>1.7349999999999999</c:v>
                </c:pt>
                <c:pt idx="2">
                  <c:v>1.7450000000000001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3-452F-B8DC-A3B7552620F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Sheet1!$K$4:$M$4</c:f>
              <c:numCache>
                <c:formatCode>General</c:formatCode>
                <c:ptCount val="3"/>
                <c:pt idx="0">
                  <c:v>1.78</c:v>
                </c:pt>
                <c:pt idx="1">
                  <c:v>1.7050000000000001</c:v>
                </c:pt>
                <c:pt idx="2">
                  <c:v>1.5249999999999999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3-452F-B8DC-A3B75526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85119"/>
        <c:axId val="7242827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Sheet1!$K$3:$M$3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33-452F-B8DC-A3B7552620F9}"/>
                  </c:ext>
                </c:extLst>
              </c15:ser>
            </c15:filteredLineSeries>
          </c:ext>
        </c:extLst>
      </c:lineChart>
      <c:catAx>
        <c:axId val="72428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82719"/>
        <c:crosses val="autoZero"/>
        <c:auto val="1"/>
        <c:lblAlgn val="ctr"/>
        <c:lblOffset val="100"/>
        <c:noMultiLvlLbl val="0"/>
      </c:catAx>
      <c:valAx>
        <c:axId val="7242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8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5</xdr:row>
      <xdr:rowOff>122237</xdr:rowOff>
    </xdr:from>
    <xdr:to>
      <xdr:col>14</xdr:col>
      <xdr:colOff>514350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A32B7-C29D-0321-15A4-64FA741B2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1171-7C55-4F20-9898-35B83DFE2177}">
  <dimension ref="A1:M17"/>
  <sheetViews>
    <sheetView zoomScale="79" workbookViewId="0">
      <selection activeCell="C18" sqref="C18"/>
    </sheetView>
  </sheetViews>
  <sheetFormatPr defaultRowHeight="16.5" x14ac:dyDescent="0.45"/>
  <sheetData>
    <row r="1" spans="1:13" x14ac:dyDescent="0.45">
      <c r="B1" t="s">
        <v>0</v>
      </c>
      <c r="C1" t="s">
        <v>1</v>
      </c>
      <c r="D1" t="s">
        <v>2</v>
      </c>
      <c r="G1" t="s">
        <v>5</v>
      </c>
      <c r="K1" t="s">
        <v>4</v>
      </c>
    </row>
    <row r="2" spans="1:13" x14ac:dyDescent="0.45">
      <c r="A2" s="7">
        <v>1</v>
      </c>
      <c r="B2" s="1">
        <v>2.02</v>
      </c>
      <c r="C2" s="1">
        <v>1.71</v>
      </c>
      <c r="D2" s="1">
        <v>1.69</v>
      </c>
      <c r="E2" s="8">
        <f>SUM(B2:D3)</f>
        <v>11.040000000000001</v>
      </c>
      <c r="G2" s="11">
        <f>SUM(B2:B3)</f>
        <v>4.08</v>
      </c>
      <c r="H2" s="11">
        <f t="shared" ref="H2:I2" si="0">SUM(C2:C3)</f>
        <v>3.4699999999999998</v>
      </c>
      <c r="I2" s="11">
        <f t="shared" si="0"/>
        <v>3.49</v>
      </c>
      <c r="J2" s="9"/>
      <c r="K2" s="11">
        <f>AVERAGE(B2:B3)</f>
        <v>2.04</v>
      </c>
      <c r="L2" s="11">
        <f>AVERAGE(C2:C3)</f>
        <v>1.7349999999999999</v>
      </c>
      <c r="M2" s="11">
        <f>AVERAGE(D2:D3)</f>
        <v>1.7450000000000001</v>
      </c>
    </row>
    <row r="3" spans="1:13" x14ac:dyDescent="0.45">
      <c r="A3" s="7"/>
      <c r="B3" s="2">
        <v>2.06</v>
      </c>
      <c r="C3" s="2">
        <v>1.76</v>
      </c>
      <c r="D3" s="2">
        <v>1.8</v>
      </c>
      <c r="E3" s="8"/>
      <c r="G3" s="11"/>
      <c r="H3" s="11"/>
      <c r="I3" s="11"/>
      <c r="J3" s="9"/>
      <c r="K3" s="11"/>
      <c r="L3" s="11"/>
      <c r="M3" s="11"/>
    </row>
    <row r="4" spans="1:13" x14ac:dyDescent="0.45">
      <c r="A4" s="7">
        <v>2</v>
      </c>
      <c r="B4" s="3">
        <v>1.8</v>
      </c>
      <c r="C4" s="1">
        <v>1.69</v>
      </c>
      <c r="D4" s="4">
        <v>1.5</v>
      </c>
      <c r="E4" s="8">
        <f>SUM(B4:D5)</f>
        <v>10.020000000000001</v>
      </c>
      <c r="G4" s="11">
        <f>SUM(B4:B5)</f>
        <v>3.56</v>
      </c>
      <c r="H4" s="11">
        <f t="shared" ref="H4" si="1">SUM(C4:C5)</f>
        <v>3.41</v>
      </c>
      <c r="I4" s="11">
        <f t="shared" ref="I4" si="2">SUM(D4:D5)</f>
        <v>3.05</v>
      </c>
      <c r="J4" s="9"/>
      <c r="K4" s="11">
        <f>AVERAGE(B4:B5)</f>
        <v>1.78</v>
      </c>
      <c r="L4" s="11">
        <f>AVERAGE(C4:C5)</f>
        <v>1.7050000000000001</v>
      </c>
      <c r="M4" s="11">
        <f>AVERAGE(D4:D5)</f>
        <v>1.5249999999999999</v>
      </c>
    </row>
    <row r="5" spans="1:13" x14ac:dyDescent="0.45">
      <c r="A5" s="7"/>
      <c r="B5" s="5">
        <v>1.76</v>
      </c>
      <c r="C5" s="2">
        <v>1.72</v>
      </c>
      <c r="D5" s="6">
        <v>1.55</v>
      </c>
      <c r="E5" s="8"/>
      <c r="G5" s="11"/>
      <c r="H5" s="11"/>
      <c r="I5" s="11"/>
      <c r="J5" s="9"/>
      <c r="K5" s="11"/>
      <c r="L5" s="11"/>
      <c r="M5" s="11"/>
    </row>
    <row r="6" spans="1:13" x14ac:dyDescent="0.45">
      <c r="B6" s="10">
        <f>SUM(B2:B5)</f>
        <v>7.64</v>
      </c>
      <c r="C6" s="10">
        <f t="shared" ref="C6:D6" si="3">SUM(C2:C5)</f>
        <v>6.88</v>
      </c>
      <c r="D6" s="10">
        <f t="shared" si="3"/>
        <v>6.54</v>
      </c>
      <c r="E6" s="10">
        <f>SUM(E2:E5)</f>
        <v>21.060000000000002</v>
      </c>
    </row>
    <row r="9" spans="1:13" x14ac:dyDescent="0.45">
      <c r="B9" t="s">
        <v>3</v>
      </c>
      <c r="C9">
        <f>SUMSQ(B2:D5)-($E$6^2/12)</f>
        <v>0.28609999999999047</v>
      </c>
    </row>
    <row r="10" spans="1:13" x14ac:dyDescent="0.45">
      <c r="B10" t="s">
        <v>6</v>
      </c>
      <c r="C10">
        <f>SUMSQ(G2:I5)/2-($E$6^2/12)</f>
        <v>0.27549999999998676</v>
      </c>
    </row>
    <row r="11" spans="1:13" x14ac:dyDescent="0.45">
      <c r="B11" t="s">
        <v>7</v>
      </c>
      <c r="C11">
        <f>SUMSQ(E2:E5)/6-E6^2/12</f>
        <v>8.6699999999993338E-2</v>
      </c>
    </row>
    <row r="12" spans="1:13" x14ac:dyDescent="0.45">
      <c r="B12" t="s">
        <v>8</v>
      </c>
      <c r="C12">
        <f>SUMSQ(B6:D6)/4-E6^2/12</f>
        <v>0.15859999999998564</v>
      </c>
    </row>
    <row r="13" spans="1:13" x14ac:dyDescent="0.45">
      <c r="B13" t="s">
        <v>9</v>
      </c>
      <c r="C13">
        <f>C10-SUM(C11:C12)</f>
        <v>3.0200000000007776E-2</v>
      </c>
    </row>
    <row r="14" spans="1:13" x14ac:dyDescent="0.45">
      <c r="B14" t="s">
        <v>10</v>
      </c>
      <c r="C14">
        <f>C9-C10</f>
        <v>1.0600000000003718E-2</v>
      </c>
    </row>
    <row r="17" spans="3:3" x14ac:dyDescent="0.45">
      <c r="C17">
        <f>_xlfn.F.INV(0.95,2,6)</f>
        <v>5.1432528497847159</v>
      </c>
    </row>
  </sheetData>
  <mergeCells count="16">
    <mergeCell ref="M2:M3"/>
    <mergeCell ref="K4:K5"/>
    <mergeCell ref="L4:L5"/>
    <mergeCell ref="M4:M5"/>
    <mergeCell ref="I2:I3"/>
    <mergeCell ref="G4:G5"/>
    <mergeCell ref="H4:H5"/>
    <mergeCell ref="I4:I5"/>
    <mergeCell ref="K2:K3"/>
    <mergeCell ref="L2:L3"/>
    <mergeCell ref="A2:A3"/>
    <mergeCell ref="A4:A5"/>
    <mergeCell ref="E2:E3"/>
    <mergeCell ref="E4:E5"/>
    <mergeCell ref="G2:G3"/>
    <mergeCell ref="H2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72F5-5526-4B28-B2EC-03C4805756CA}">
  <dimension ref="A1:Q38"/>
  <sheetViews>
    <sheetView tabSelected="1" topLeftCell="A11" workbookViewId="0">
      <selection activeCell="C18" sqref="C18"/>
    </sheetView>
  </sheetViews>
  <sheetFormatPr defaultRowHeight="16.5" x14ac:dyDescent="0.45"/>
  <cols>
    <col min="1" max="16384" width="8.6640625" style="10"/>
  </cols>
  <sheetData>
    <row r="1" spans="1:17" x14ac:dyDescent="0.45">
      <c r="A1" s="12" t="s">
        <v>12</v>
      </c>
      <c r="B1" s="12"/>
      <c r="C1" s="12" t="s">
        <v>11</v>
      </c>
      <c r="D1" s="12"/>
      <c r="E1" s="12"/>
      <c r="F1" s="12"/>
      <c r="G1" s="12"/>
      <c r="H1" s="12"/>
      <c r="I1" s="12" t="s">
        <v>16</v>
      </c>
      <c r="J1" s="12"/>
    </row>
    <row r="2" spans="1:17" x14ac:dyDescent="0.45">
      <c r="A2" s="12"/>
      <c r="B2" s="12"/>
      <c r="C2" s="12" t="s">
        <v>14</v>
      </c>
      <c r="D2" s="12"/>
      <c r="E2" s="12"/>
      <c r="F2" s="12" t="s">
        <v>15</v>
      </c>
      <c r="G2" s="12"/>
      <c r="H2" s="12"/>
      <c r="I2" s="12"/>
      <c r="J2" s="12"/>
    </row>
    <row r="3" spans="1:17" x14ac:dyDescent="0.45">
      <c r="A3" s="12"/>
      <c r="B3" s="12"/>
      <c r="C3" s="15" t="s">
        <v>17</v>
      </c>
      <c r="D3" s="15" t="s">
        <v>18</v>
      </c>
      <c r="E3" s="15" t="s">
        <v>19</v>
      </c>
      <c r="F3" s="15" t="s">
        <v>17</v>
      </c>
      <c r="G3" s="15" t="s">
        <v>18</v>
      </c>
      <c r="H3" s="15" t="s">
        <v>19</v>
      </c>
      <c r="I3" s="27"/>
      <c r="J3" s="27"/>
      <c r="L3" s="10" t="s">
        <v>5</v>
      </c>
    </row>
    <row r="4" spans="1:17" x14ac:dyDescent="0.45">
      <c r="A4" s="12" t="s">
        <v>13</v>
      </c>
      <c r="B4" s="14" t="s">
        <v>17</v>
      </c>
      <c r="C4" s="18">
        <v>68</v>
      </c>
      <c r="D4" s="15">
        <v>75</v>
      </c>
      <c r="E4" s="19">
        <v>71</v>
      </c>
      <c r="F4" s="15">
        <v>70</v>
      </c>
      <c r="G4" s="19">
        <v>79</v>
      </c>
      <c r="H4" s="18">
        <v>80</v>
      </c>
      <c r="I4" s="18">
        <f>SUM(C4:H4)</f>
        <v>443</v>
      </c>
      <c r="J4" s="27">
        <f>SUM(C4:H5)</f>
        <v>899</v>
      </c>
      <c r="L4" s="14">
        <f>SUM(C4:C5)</f>
        <v>134</v>
      </c>
      <c r="M4" s="14">
        <f t="shared" ref="M4:Q4" si="0">SUM(D4:D5)</f>
        <v>151</v>
      </c>
      <c r="N4" s="14">
        <f t="shared" si="0"/>
        <v>151</v>
      </c>
      <c r="O4" s="14">
        <f t="shared" si="0"/>
        <v>144</v>
      </c>
      <c r="P4" s="14">
        <f t="shared" si="0"/>
        <v>156</v>
      </c>
      <c r="Q4" s="12">
        <f t="shared" si="0"/>
        <v>163</v>
      </c>
    </row>
    <row r="5" spans="1:17" x14ac:dyDescent="0.45">
      <c r="A5" s="12"/>
      <c r="B5" s="14"/>
      <c r="C5" s="23">
        <v>66</v>
      </c>
      <c r="D5" s="16">
        <v>76</v>
      </c>
      <c r="E5" s="24">
        <v>80</v>
      </c>
      <c r="F5" s="16">
        <v>74</v>
      </c>
      <c r="G5" s="24">
        <v>77</v>
      </c>
      <c r="H5" s="23">
        <v>83</v>
      </c>
      <c r="I5" s="21">
        <f t="shared" ref="I5:I9" si="1">SUM(C5:H5)</f>
        <v>456</v>
      </c>
      <c r="J5" s="28"/>
      <c r="L5" s="14"/>
      <c r="M5" s="14"/>
      <c r="N5" s="14"/>
      <c r="O5" s="14"/>
      <c r="P5" s="14"/>
      <c r="Q5" s="12"/>
    </row>
    <row r="6" spans="1:17" x14ac:dyDescent="0.45">
      <c r="A6" s="12"/>
      <c r="B6" s="14" t="s">
        <v>18</v>
      </c>
      <c r="C6" s="18">
        <v>79</v>
      </c>
      <c r="D6" s="15">
        <v>83</v>
      </c>
      <c r="E6" s="19">
        <v>88</v>
      </c>
      <c r="F6" s="15">
        <v>82</v>
      </c>
      <c r="G6" s="19">
        <v>83</v>
      </c>
      <c r="H6" s="18">
        <v>88</v>
      </c>
      <c r="I6" s="18">
        <f t="shared" si="1"/>
        <v>503</v>
      </c>
      <c r="J6" s="27">
        <f t="shared" ref="J6:J9" si="2">SUM(C6:H7)</f>
        <v>1009</v>
      </c>
      <c r="L6" s="14">
        <f t="shared" ref="L6:L9" si="3">SUM(C6:C7)</f>
        <v>161</v>
      </c>
      <c r="M6" s="14">
        <f t="shared" ref="M6:M9" si="4">SUM(D6:D7)</f>
        <v>163</v>
      </c>
      <c r="N6" s="14">
        <f t="shared" ref="N6:N9" si="5">SUM(E6:E7)</f>
        <v>172</v>
      </c>
      <c r="O6" s="14">
        <f t="shared" ref="O6:O9" si="6">SUM(F6:F7)</f>
        <v>162</v>
      </c>
      <c r="P6" s="14">
        <f t="shared" ref="P6:P9" si="7">SUM(G6:G7)</f>
        <v>171</v>
      </c>
      <c r="Q6" s="12">
        <f t="shared" ref="Q6:Q9" si="8">SUM(H6:H7)</f>
        <v>180</v>
      </c>
    </row>
    <row r="7" spans="1:17" x14ac:dyDescent="0.45">
      <c r="A7" s="12"/>
      <c r="B7" s="14"/>
      <c r="C7" s="23">
        <v>82</v>
      </c>
      <c r="D7" s="16">
        <v>80</v>
      </c>
      <c r="E7" s="24">
        <v>84</v>
      </c>
      <c r="F7" s="16">
        <v>80</v>
      </c>
      <c r="G7" s="24">
        <v>88</v>
      </c>
      <c r="H7" s="23">
        <v>92</v>
      </c>
      <c r="I7" s="21">
        <f t="shared" si="1"/>
        <v>506</v>
      </c>
      <c r="J7" s="28"/>
      <c r="L7" s="14"/>
      <c r="M7" s="14"/>
      <c r="N7" s="14"/>
      <c r="O7" s="14"/>
      <c r="P7" s="14"/>
      <c r="Q7" s="12"/>
    </row>
    <row r="8" spans="1:17" x14ac:dyDescent="0.45">
      <c r="A8" s="12"/>
      <c r="B8" s="14" t="s">
        <v>19</v>
      </c>
      <c r="C8" s="21">
        <v>70</v>
      </c>
      <c r="D8" s="26">
        <v>78</v>
      </c>
      <c r="E8" s="17">
        <v>82</v>
      </c>
      <c r="F8" s="26">
        <v>74</v>
      </c>
      <c r="G8" s="17">
        <v>91</v>
      </c>
      <c r="H8" s="21">
        <v>90</v>
      </c>
      <c r="I8" s="18">
        <f t="shared" si="1"/>
        <v>485</v>
      </c>
      <c r="J8" s="27">
        <f t="shared" ref="J8:J9" si="9">SUM(C8:H9)</f>
        <v>989</v>
      </c>
      <c r="L8" s="14">
        <f t="shared" ref="L8:L9" si="10">SUM(C8:C9)</f>
        <v>154</v>
      </c>
      <c r="M8" s="14">
        <f t="shared" ref="M8:M9" si="11">SUM(D8:D9)</f>
        <v>158</v>
      </c>
      <c r="N8" s="14">
        <f t="shared" ref="N8:N9" si="12">SUM(E8:E9)</f>
        <v>168</v>
      </c>
      <c r="O8" s="14">
        <f t="shared" ref="O8:O9" si="13">SUM(F8:F9)</f>
        <v>152</v>
      </c>
      <c r="P8" s="14">
        <f t="shared" ref="P8:P9" si="14">SUM(G8:G9)</f>
        <v>171</v>
      </c>
      <c r="Q8" s="12">
        <f t="shared" ref="Q8:Q9" si="15">SUM(H8:H9)</f>
        <v>186</v>
      </c>
    </row>
    <row r="9" spans="1:17" x14ac:dyDescent="0.45">
      <c r="A9" s="12"/>
      <c r="B9" s="14"/>
      <c r="C9" s="23">
        <v>84</v>
      </c>
      <c r="D9" s="16">
        <v>80</v>
      </c>
      <c r="E9" s="24">
        <v>86</v>
      </c>
      <c r="F9" s="16">
        <v>78</v>
      </c>
      <c r="G9" s="24">
        <v>80</v>
      </c>
      <c r="H9" s="23">
        <v>96</v>
      </c>
      <c r="I9" s="23">
        <f t="shared" si="1"/>
        <v>504</v>
      </c>
      <c r="J9" s="28"/>
      <c r="L9" s="14"/>
      <c r="M9" s="14"/>
      <c r="N9" s="14"/>
      <c r="O9" s="14"/>
      <c r="P9" s="14"/>
      <c r="Q9" s="12"/>
    </row>
    <row r="10" spans="1:17" x14ac:dyDescent="0.45">
      <c r="A10" s="12" t="s">
        <v>16</v>
      </c>
      <c r="B10" s="12"/>
      <c r="C10" s="16">
        <f>SUM(C4:C9)</f>
        <v>449</v>
      </c>
      <c r="D10" s="16">
        <f>SUM(D4:D9)</f>
        <v>472</v>
      </c>
      <c r="E10" s="16">
        <f>SUM(E4:E9)</f>
        <v>491</v>
      </c>
      <c r="F10" s="16">
        <f>SUM(F4:F9)</f>
        <v>458</v>
      </c>
      <c r="G10" s="16">
        <f>SUM(G4:G9)</f>
        <v>498</v>
      </c>
      <c r="H10" s="16">
        <f>SUM(H4:H9)</f>
        <v>529</v>
      </c>
      <c r="I10" s="28">
        <f>SUM(C4:H9)</f>
        <v>2897</v>
      </c>
      <c r="J10" s="28"/>
    </row>
    <row r="11" spans="1:17" x14ac:dyDescent="0.45">
      <c r="A11" s="12"/>
      <c r="B11" s="12"/>
      <c r="C11" s="12">
        <f>SUM(C4:E9)</f>
        <v>1412</v>
      </c>
      <c r="D11" s="12"/>
      <c r="E11" s="12"/>
      <c r="F11" s="12">
        <f>SUM(F4:H9)</f>
        <v>1485</v>
      </c>
      <c r="G11" s="12"/>
      <c r="H11" s="12"/>
      <c r="I11" s="12"/>
      <c r="J11" s="12"/>
      <c r="L11" s="10" t="s">
        <v>20</v>
      </c>
    </row>
    <row r="12" spans="1:17" x14ac:dyDescent="0.45">
      <c r="L12" s="27">
        <f>AVERAGE(C4:C5)</f>
        <v>67</v>
      </c>
      <c r="M12" s="27">
        <f t="shared" ref="M12:P12" si="16">AVERAGE(D4:D5)</f>
        <v>75.5</v>
      </c>
      <c r="N12" s="27">
        <f t="shared" si="16"/>
        <v>75.5</v>
      </c>
      <c r="O12" s="27">
        <f t="shared" si="16"/>
        <v>72</v>
      </c>
      <c r="P12" s="27">
        <f t="shared" si="16"/>
        <v>78</v>
      </c>
      <c r="Q12" s="27">
        <f>AVERAGE(H4:H5)</f>
        <v>81.5</v>
      </c>
    </row>
    <row r="13" spans="1:17" x14ac:dyDescent="0.45">
      <c r="C13" s="10">
        <v>1</v>
      </c>
      <c r="D13" s="10">
        <v>2</v>
      </c>
      <c r="E13" s="10">
        <v>3</v>
      </c>
      <c r="L13" s="28"/>
      <c r="M13" s="28"/>
      <c r="N13" s="28"/>
      <c r="O13" s="28"/>
      <c r="P13" s="28"/>
      <c r="Q13" s="28"/>
    </row>
    <row r="14" spans="1:17" x14ac:dyDescent="0.45">
      <c r="B14" s="10" t="s">
        <v>21</v>
      </c>
      <c r="C14" s="29">
        <f>C10+F10</f>
        <v>907</v>
      </c>
      <c r="D14" s="29">
        <f t="shared" ref="D14" si="17">D10+G10</f>
        <v>970</v>
      </c>
      <c r="E14" s="29">
        <f>E10+H10</f>
        <v>1020</v>
      </c>
      <c r="G14" s="10" t="s">
        <v>34</v>
      </c>
      <c r="H14" s="30"/>
      <c r="L14" s="14">
        <f t="shared" ref="L14" si="18">AVERAGE(C6:C7)</f>
        <v>80.5</v>
      </c>
      <c r="M14" s="14">
        <f t="shared" ref="M14" si="19">AVERAGE(D6:D7)</f>
        <v>81.5</v>
      </c>
      <c r="N14" s="14">
        <f t="shared" ref="N14" si="20">AVERAGE(E6:E7)</f>
        <v>86</v>
      </c>
      <c r="O14" s="14">
        <f t="shared" ref="O14" si="21">AVERAGE(F6:F7)</f>
        <v>81</v>
      </c>
      <c r="P14" s="14">
        <f t="shared" ref="P14:Q14" si="22">AVERAGE(G6:G7)</f>
        <v>85.5</v>
      </c>
      <c r="Q14" s="12">
        <f t="shared" si="22"/>
        <v>90</v>
      </c>
    </row>
    <row r="15" spans="1:17" x14ac:dyDescent="0.45">
      <c r="C15" s="30"/>
      <c r="D15" s="30"/>
      <c r="E15" s="30"/>
      <c r="G15" s="30" t="s">
        <v>24</v>
      </c>
      <c r="H15" s="30" t="s">
        <v>25</v>
      </c>
      <c r="L15" s="14"/>
      <c r="M15" s="14"/>
      <c r="N15" s="14"/>
      <c r="O15" s="14"/>
      <c r="P15" s="14"/>
      <c r="Q15" s="12"/>
    </row>
    <row r="16" spans="1:17" x14ac:dyDescent="0.45">
      <c r="F16" s="10" t="s">
        <v>26</v>
      </c>
      <c r="G16" s="12">
        <f>SUM(C4:E5)</f>
        <v>436</v>
      </c>
      <c r="H16" s="12">
        <f>SUM(F4:H5)</f>
        <v>463</v>
      </c>
      <c r="L16" s="14">
        <f t="shared" ref="L16" si="23">AVERAGE(C8:C9)</f>
        <v>77</v>
      </c>
      <c r="M16" s="14">
        <f t="shared" ref="M16" si="24">AVERAGE(D8:D9)</f>
        <v>79</v>
      </c>
      <c r="N16" s="14">
        <f t="shared" ref="N16" si="25">AVERAGE(E8:E9)</f>
        <v>84</v>
      </c>
      <c r="O16" s="14">
        <f t="shared" ref="O16" si="26">AVERAGE(F8:F9)</f>
        <v>76</v>
      </c>
      <c r="P16" s="14">
        <f t="shared" ref="P16:Q16" si="27">AVERAGE(G8:G9)</f>
        <v>85.5</v>
      </c>
      <c r="Q16" s="12">
        <f t="shared" si="27"/>
        <v>93</v>
      </c>
    </row>
    <row r="17" spans="1:17" x14ac:dyDescent="0.45">
      <c r="G17" s="12"/>
      <c r="H17" s="12"/>
      <c r="L17" s="14"/>
      <c r="M17" s="14"/>
      <c r="N17" s="14"/>
      <c r="O17" s="14"/>
      <c r="P17" s="14"/>
      <c r="Q17" s="12"/>
    </row>
    <row r="18" spans="1:17" x14ac:dyDescent="0.45">
      <c r="B18" s="10" t="s">
        <v>3</v>
      </c>
      <c r="C18" s="10">
        <f>SUMSQ(C4:H9)-(I10^2/36)</f>
        <v>1664.972222222219</v>
      </c>
      <c r="F18" s="10" t="s">
        <v>27</v>
      </c>
      <c r="G18" s="12">
        <f>SUM(C6:E7)</f>
        <v>496</v>
      </c>
      <c r="H18" s="12">
        <f>SUM(F6:H7)</f>
        <v>513</v>
      </c>
    </row>
    <row r="19" spans="1:17" x14ac:dyDescent="0.45">
      <c r="B19" s="10" t="s">
        <v>6</v>
      </c>
      <c r="C19" s="10">
        <f>SUMSQ(L4:Q9)/2-(I10^2/36)</f>
        <v>1373.472222222219</v>
      </c>
      <c r="G19" s="12"/>
      <c r="H19" s="12"/>
    </row>
    <row r="20" spans="1:17" x14ac:dyDescent="0.45">
      <c r="B20" s="10" t="s">
        <v>7</v>
      </c>
      <c r="C20" s="10">
        <f>(C11^2+F11^2)/(3*3*2)-I10^2/36</f>
        <v>148.02777777778101</v>
      </c>
      <c r="F20" s="10" t="s">
        <v>28</v>
      </c>
      <c r="G20" s="12">
        <f>SUM(C8:E9)</f>
        <v>480</v>
      </c>
      <c r="H20" s="12">
        <f>SUM(F8:H9)</f>
        <v>509</v>
      </c>
    </row>
    <row r="21" spans="1:17" x14ac:dyDescent="0.45">
      <c r="B21" s="10" t="s">
        <v>8</v>
      </c>
      <c r="C21" s="10">
        <f>(C14^2+D14^2+E14^2)/(2*3*2)-I10^2/36</f>
        <v>534.38888888887595</v>
      </c>
      <c r="G21" s="12"/>
      <c r="H21" s="12"/>
    </row>
    <row r="22" spans="1:17" x14ac:dyDescent="0.45">
      <c r="B22" s="10" t="s">
        <v>22</v>
      </c>
      <c r="C22" s="10">
        <f>(J4^2+J6^2+J8^2)/(2*3*2)-(I10^2/36)</f>
        <v>572.22222222221899</v>
      </c>
    </row>
    <row r="23" spans="1:17" x14ac:dyDescent="0.45">
      <c r="B23" s="10" t="s">
        <v>9</v>
      </c>
      <c r="C23" s="10">
        <f>SUMSQ(C10:H10)/(3*2) - I10^2/36 - C20 - C21</f>
        <v>35.388888888905058</v>
      </c>
      <c r="G23" s="10" t="s">
        <v>35</v>
      </c>
    </row>
    <row r="24" spans="1:17" x14ac:dyDescent="0.45">
      <c r="B24" s="10" t="s">
        <v>23</v>
      </c>
      <c r="C24" s="10">
        <f>SUMSQ(G16:H21)/(3*2)-I10^2/36-C20-C22</f>
        <v>6.8888888888759539</v>
      </c>
      <c r="G24" s="10" t="s">
        <v>30</v>
      </c>
      <c r="H24" s="10" t="s">
        <v>31</v>
      </c>
      <c r="I24" s="10" t="s">
        <v>32</v>
      </c>
    </row>
    <row r="25" spans="1:17" x14ac:dyDescent="0.45">
      <c r="B25" s="10" t="s">
        <v>29</v>
      </c>
      <c r="C25" s="10">
        <f>SUMSQ(G25:I30)/(2*2) - I10^2/36 -C21 -C22</f>
        <v>43.111111111124046</v>
      </c>
      <c r="F25" s="10" t="s">
        <v>26</v>
      </c>
      <c r="G25" s="12">
        <f>SUM(C4:C5,F4:F5)</f>
        <v>278</v>
      </c>
      <c r="H25" s="12">
        <f t="shared" ref="H25:I25" si="28">SUM(D4:D5,G4:G5)</f>
        <v>307</v>
      </c>
      <c r="I25" s="12">
        <f t="shared" si="28"/>
        <v>314</v>
      </c>
      <c r="L25" s="10">
        <f>_xlfn.F.INV(0.99,2,18)</f>
        <v>6.0129048348005281</v>
      </c>
    </row>
    <row r="26" spans="1:17" x14ac:dyDescent="0.45">
      <c r="B26" s="10" t="s">
        <v>33</v>
      </c>
      <c r="C26" s="10">
        <f>C19-SUM(C20:C25)</f>
        <v>33.444444444437977</v>
      </c>
      <c r="G26" s="12"/>
      <c r="H26" s="12"/>
      <c r="I26" s="12"/>
    </row>
    <row r="27" spans="1:17" x14ac:dyDescent="0.45">
      <c r="B27" s="10" t="s">
        <v>10</v>
      </c>
      <c r="C27" s="10">
        <f>C18-C19</f>
        <v>291.5</v>
      </c>
      <c r="F27" s="10" t="s">
        <v>27</v>
      </c>
      <c r="G27" s="12">
        <f t="shared" ref="G27" si="29">SUM(C6:C7,F6:F7)</f>
        <v>323</v>
      </c>
      <c r="H27" s="12">
        <f>SUM(D6:D7,G6:G7)</f>
        <v>334</v>
      </c>
      <c r="I27" s="12">
        <f t="shared" ref="I27" si="30">SUM(E6:E7,H6:H7)</f>
        <v>352</v>
      </c>
    </row>
    <row r="28" spans="1:17" x14ac:dyDescent="0.45">
      <c r="G28" s="12"/>
      <c r="H28" s="12"/>
      <c r="I28" s="12"/>
    </row>
    <row r="29" spans="1:17" x14ac:dyDescent="0.45">
      <c r="F29" s="10" t="s">
        <v>28</v>
      </c>
      <c r="G29" s="12">
        <f t="shared" ref="G29" si="31">SUM(C8:C9,F8:F9)</f>
        <v>306</v>
      </c>
      <c r="H29" s="12">
        <f t="shared" ref="H29" si="32">SUM(D8:D9,G8:G9)</f>
        <v>329</v>
      </c>
      <c r="I29" s="12">
        <f t="shared" ref="I29" si="33">SUM(E8:E9,H8:H9)</f>
        <v>354</v>
      </c>
    </row>
    <row r="30" spans="1:17" x14ac:dyDescent="0.45">
      <c r="G30" s="12"/>
      <c r="H30" s="12"/>
      <c r="I30" s="12"/>
    </row>
    <row r="31" spans="1:17" x14ac:dyDescent="0.45">
      <c r="B31" s="10">
        <v>1</v>
      </c>
      <c r="C31" s="10">
        <v>2</v>
      </c>
    </row>
    <row r="32" spans="1:17" x14ac:dyDescent="0.45">
      <c r="A32" s="10" t="s">
        <v>36</v>
      </c>
      <c r="B32" s="10">
        <f>AVERAGE(C4:E9)</f>
        <v>78.444444444444443</v>
      </c>
      <c r="C32" s="10">
        <f>AVERAGE(F4:H9)</f>
        <v>82.5</v>
      </c>
    </row>
    <row r="34" spans="1:4" x14ac:dyDescent="0.45">
      <c r="B34" s="10">
        <v>1</v>
      </c>
      <c r="C34" s="10">
        <v>2</v>
      </c>
      <c r="D34" s="10">
        <v>3</v>
      </c>
    </row>
    <row r="35" spans="1:4" x14ac:dyDescent="0.45">
      <c r="A35" s="10" t="s">
        <v>37</v>
      </c>
      <c r="B35" s="10">
        <f>AVERAGE(C4:C9,F4:F9)</f>
        <v>75.583333333333329</v>
      </c>
      <c r="C35" s="10">
        <f t="shared" ref="C35:D35" si="34">AVERAGE(D4:D9,G4:G9)</f>
        <v>80.833333333333329</v>
      </c>
      <c r="D35" s="10">
        <f t="shared" si="34"/>
        <v>85</v>
      </c>
    </row>
    <row r="37" spans="1:4" x14ac:dyDescent="0.45">
      <c r="B37" s="10">
        <v>1</v>
      </c>
      <c r="C37" s="10">
        <v>2</v>
      </c>
      <c r="D37" s="10">
        <v>3</v>
      </c>
    </row>
    <row r="38" spans="1:4" x14ac:dyDescent="0.45">
      <c r="A38" s="10" t="s">
        <v>38</v>
      </c>
      <c r="B38" s="10">
        <f>AVERAGE(C4:H5)</f>
        <v>74.916666666666671</v>
      </c>
      <c r="C38" s="10">
        <f>AVERAGE(C6:H7)</f>
        <v>84.083333333333329</v>
      </c>
      <c r="D38" s="10">
        <f>AVERAGE(C8:H9)</f>
        <v>82.416666666666671</v>
      </c>
    </row>
  </sheetData>
  <mergeCells count="67">
    <mergeCell ref="G29:G30"/>
    <mergeCell ref="H29:H30"/>
    <mergeCell ref="I25:I26"/>
    <mergeCell ref="I27:I28"/>
    <mergeCell ref="I29:I30"/>
    <mergeCell ref="G20:G21"/>
    <mergeCell ref="H20:H21"/>
    <mergeCell ref="G25:G26"/>
    <mergeCell ref="H25:H26"/>
    <mergeCell ref="G27:G28"/>
    <mergeCell ref="H27:H28"/>
    <mergeCell ref="G18:G19"/>
    <mergeCell ref="H18:H19"/>
    <mergeCell ref="G16:G17"/>
    <mergeCell ref="H16:H17"/>
    <mergeCell ref="L16:L17"/>
    <mergeCell ref="M16:M17"/>
    <mergeCell ref="N16:N17"/>
    <mergeCell ref="O16:O17"/>
    <mergeCell ref="P16:P17"/>
    <mergeCell ref="Q16:Q17"/>
    <mergeCell ref="L14:L15"/>
    <mergeCell ref="M14:M15"/>
    <mergeCell ref="N14:N15"/>
    <mergeCell ref="O14:O15"/>
    <mergeCell ref="P14:P15"/>
    <mergeCell ref="Q14:Q15"/>
    <mergeCell ref="L12:L13"/>
    <mergeCell ref="M12:M13"/>
    <mergeCell ref="N12:N13"/>
    <mergeCell ref="O12:O13"/>
    <mergeCell ref="P12:P13"/>
    <mergeCell ref="Q12:Q13"/>
    <mergeCell ref="L8:L9"/>
    <mergeCell ref="M8:M9"/>
    <mergeCell ref="N8:N9"/>
    <mergeCell ref="O8:O9"/>
    <mergeCell ref="P8:P9"/>
    <mergeCell ref="Q8:Q9"/>
    <mergeCell ref="Q4:Q5"/>
    <mergeCell ref="L6:L7"/>
    <mergeCell ref="M6:M7"/>
    <mergeCell ref="N6:N7"/>
    <mergeCell ref="O6:O7"/>
    <mergeCell ref="P6:P7"/>
    <mergeCell ref="Q6:Q7"/>
    <mergeCell ref="L4:L5"/>
    <mergeCell ref="M4:M5"/>
    <mergeCell ref="N4:N5"/>
    <mergeCell ref="O4:O5"/>
    <mergeCell ref="P4:P5"/>
    <mergeCell ref="I1:J3"/>
    <mergeCell ref="A10:B11"/>
    <mergeCell ref="C11:E11"/>
    <mergeCell ref="F11:H11"/>
    <mergeCell ref="I10:J11"/>
    <mergeCell ref="J4:J5"/>
    <mergeCell ref="J6:J7"/>
    <mergeCell ref="J8:J9"/>
    <mergeCell ref="A1:B3"/>
    <mergeCell ref="C1:H1"/>
    <mergeCell ref="A4:A9"/>
    <mergeCell ref="B4:B5"/>
    <mergeCell ref="B6:B7"/>
    <mergeCell ref="B8:B9"/>
    <mergeCell ref="C2:E2"/>
    <mergeCell ref="F2:H2"/>
  </mergeCells>
  <pageMargins left="0.7" right="0.7" top="0.75" bottom="0.75" header="0.3" footer="0.3"/>
  <ignoredErrors>
    <ignoredError sqref="L4:Q9 L12:Q17 G25:I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3350-FD87-4C56-BCD6-177F654194FD}">
  <dimension ref="A1:R31"/>
  <sheetViews>
    <sheetView topLeftCell="A12" zoomScale="80" workbookViewId="0">
      <selection activeCell="F31" sqref="F31"/>
    </sheetView>
  </sheetViews>
  <sheetFormatPr defaultRowHeight="16.5" x14ac:dyDescent="0.45"/>
  <cols>
    <col min="1" max="1" width="9.58203125" style="10" bestFit="1" customWidth="1"/>
    <col min="2" max="2" width="12.08203125" style="10" bestFit="1" customWidth="1"/>
    <col min="3" max="9" width="8.6640625" style="10"/>
    <col min="10" max="10" width="13.25" style="10" bestFit="1" customWidth="1"/>
    <col min="11" max="14" width="8.6640625" style="10"/>
    <col min="15" max="15" width="16.25" style="10" bestFit="1" customWidth="1"/>
    <col min="16" max="16384" width="8.6640625" style="10"/>
  </cols>
  <sheetData>
    <row r="1" spans="1:16" x14ac:dyDescent="0.45">
      <c r="A1" s="12" t="s">
        <v>39</v>
      </c>
      <c r="B1" s="12" t="s">
        <v>40</v>
      </c>
      <c r="C1" s="12" t="s">
        <v>41</v>
      </c>
      <c r="D1" s="12"/>
      <c r="E1" s="12"/>
      <c r="F1" s="12"/>
    </row>
    <row r="2" spans="1:16" x14ac:dyDescent="0.45">
      <c r="A2" s="12"/>
      <c r="B2" s="12"/>
      <c r="C2" s="13">
        <v>1</v>
      </c>
      <c r="D2" s="13">
        <v>2</v>
      </c>
      <c r="E2" s="13">
        <v>3</v>
      </c>
      <c r="F2" s="13">
        <v>4</v>
      </c>
      <c r="H2" s="10" t="s">
        <v>48</v>
      </c>
      <c r="I2" s="10" t="s">
        <v>20</v>
      </c>
      <c r="K2" s="10" t="s">
        <v>44</v>
      </c>
      <c r="L2" s="10" t="s">
        <v>4</v>
      </c>
      <c r="O2" s="10" t="s">
        <v>45</v>
      </c>
      <c r="P2" s="10" t="s">
        <v>4</v>
      </c>
    </row>
    <row r="3" spans="1:16" x14ac:dyDescent="0.45">
      <c r="A3" s="12">
        <v>1</v>
      </c>
      <c r="B3" s="18">
        <v>1</v>
      </c>
      <c r="C3" s="15">
        <v>60</v>
      </c>
      <c r="D3" s="15">
        <v>85</v>
      </c>
      <c r="E3" s="15">
        <v>90</v>
      </c>
      <c r="F3" s="20">
        <v>65</v>
      </c>
      <c r="H3" s="10">
        <f>SUM(C3:F3)</f>
        <v>300</v>
      </c>
      <c r="I3" s="10">
        <f>AVERAGE(C3:F3)</f>
        <v>75</v>
      </c>
      <c r="K3" s="11">
        <f>SUM(C3:F5)</f>
        <v>835</v>
      </c>
      <c r="L3" s="11">
        <f>AVERAGE(C3:F5)</f>
        <v>69.583333333333329</v>
      </c>
      <c r="O3" s="10">
        <f>SUM(C3:F3,C6:F6,C9:F9,C12:F12)</f>
        <v>1075</v>
      </c>
      <c r="P3" s="10">
        <f>AVERAGE(C3:F3,C6:F6,C9:F9,C12:F12)</f>
        <v>67.1875</v>
      </c>
    </row>
    <row r="4" spans="1:16" x14ac:dyDescent="0.45">
      <c r="A4" s="12"/>
      <c r="B4" s="21">
        <v>2</v>
      </c>
      <c r="C4" s="26">
        <v>85</v>
      </c>
      <c r="D4" s="26">
        <v>60</v>
      </c>
      <c r="E4" s="26">
        <v>55</v>
      </c>
      <c r="F4" s="22">
        <v>75</v>
      </c>
      <c r="H4" s="10">
        <f t="shared" ref="H4:H14" si="0">SUM(C4:F4)</f>
        <v>275</v>
      </c>
      <c r="I4" s="10">
        <f t="shared" ref="I4:I14" si="1">AVERAGE(C4:F4)</f>
        <v>68.75</v>
      </c>
      <c r="K4" s="11"/>
      <c r="L4" s="11"/>
      <c r="O4" s="10">
        <f>SUM(C4:F4,C7:F7,C10:F10,C13:F13)</f>
        <v>1065</v>
      </c>
      <c r="P4" s="10">
        <f t="shared" ref="P4:P5" si="2">AVERAGE(C4:F4,C7:F7,C10:F10,C13:F13)</f>
        <v>66.5625</v>
      </c>
    </row>
    <row r="5" spans="1:16" x14ac:dyDescent="0.45">
      <c r="A5" s="12"/>
      <c r="B5" s="23">
        <v>3</v>
      </c>
      <c r="C5" s="16">
        <v>60</v>
      </c>
      <c r="D5" s="16">
        <v>65</v>
      </c>
      <c r="E5" s="16">
        <v>70</v>
      </c>
      <c r="F5" s="25">
        <v>65</v>
      </c>
      <c r="H5" s="10">
        <f t="shared" si="0"/>
        <v>260</v>
      </c>
      <c r="I5" s="10">
        <f t="shared" si="1"/>
        <v>65</v>
      </c>
      <c r="K5" s="11"/>
      <c r="L5" s="11"/>
      <c r="O5" s="10">
        <f>SUM(C5:F5,C8:F8,C11:F11,C14:F14)</f>
        <v>1450</v>
      </c>
      <c r="P5" s="10">
        <f t="shared" si="2"/>
        <v>90.625</v>
      </c>
    </row>
    <row r="6" spans="1:16" x14ac:dyDescent="0.45">
      <c r="A6" s="12">
        <v>2</v>
      </c>
      <c r="B6" s="18">
        <v>1</v>
      </c>
      <c r="C6" s="15">
        <v>35</v>
      </c>
      <c r="D6" s="15">
        <v>60</v>
      </c>
      <c r="E6" s="15">
        <v>50</v>
      </c>
      <c r="F6" s="20">
        <v>65</v>
      </c>
      <c r="H6" s="10">
        <f t="shared" si="0"/>
        <v>210</v>
      </c>
      <c r="I6" s="10">
        <f t="shared" si="1"/>
        <v>52.5</v>
      </c>
      <c r="K6" s="11">
        <f t="shared" ref="K6" si="3">SUM(C6:F8)</f>
        <v>700</v>
      </c>
      <c r="L6" s="11">
        <f t="shared" ref="L6" si="4">AVERAGE(C6:F8)</f>
        <v>58.333333333333336</v>
      </c>
    </row>
    <row r="7" spans="1:16" x14ac:dyDescent="0.45">
      <c r="A7" s="12"/>
      <c r="B7" s="21">
        <v>2</v>
      </c>
      <c r="C7" s="26">
        <v>60</v>
      </c>
      <c r="D7" s="26">
        <v>50</v>
      </c>
      <c r="E7" s="26">
        <v>65</v>
      </c>
      <c r="F7" s="22">
        <v>40</v>
      </c>
      <c r="H7" s="10">
        <f t="shared" si="0"/>
        <v>215</v>
      </c>
      <c r="I7" s="10">
        <f t="shared" si="1"/>
        <v>53.75</v>
      </c>
      <c r="K7" s="11"/>
      <c r="L7" s="11"/>
    </row>
    <row r="8" spans="1:16" x14ac:dyDescent="0.45">
      <c r="A8" s="12"/>
      <c r="B8" s="23">
        <v>3</v>
      </c>
      <c r="C8" s="16">
        <v>70</v>
      </c>
      <c r="D8" s="16">
        <v>60</v>
      </c>
      <c r="E8" s="16">
        <v>65</v>
      </c>
      <c r="F8" s="25">
        <v>80</v>
      </c>
      <c r="H8" s="10">
        <f t="shared" si="0"/>
        <v>275</v>
      </c>
      <c r="I8" s="10">
        <f t="shared" si="1"/>
        <v>68.75</v>
      </c>
      <c r="K8" s="11"/>
      <c r="L8" s="11"/>
    </row>
    <row r="9" spans="1:16" x14ac:dyDescent="0.45">
      <c r="A9" s="12">
        <v>3</v>
      </c>
      <c r="B9" s="18">
        <v>1</v>
      </c>
      <c r="C9" s="15">
        <v>95</v>
      </c>
      <c r="D9" s="15">
        <v>65</v>
      </c>
      <c r="E9" s="15">
        <v>90</v>
      </c>
      <c r="F9" s="20">
        <v>85</v>
      </c>
      <c r="H9" s="10">
        <f t="shared" si="0"/>
        <v>335</v>
      </c>
      <c r="I9" s="10">
        <f t="shared" si="1"/>
        <v>83.75</v>
      </c>
      <c r="K9" s="11">
        <f t="shared" ref="K9" si="5">SUM(C9:F11)</f>
        <v>1240</v>
      </c>
      <c r="L9" s="11">
        <f t="shared" ref="L9" si="6">AVERAGE(C9:F11)</f>
        <v>103.33333333333333</v>
      </c>
    </row>
    <row r="10" spans="1:16" x14ac:dyDescent="0.45">
      <c r="A10" s="12"/>
      <c r="B10" s="21">
        <v>2</v>
      </c>
      <c r="C10" s="26">
        <v>60</v>
      </c>
      <c r="D10" s="26">
        <v>85</v>
      </c>
      <c r="E10" s="26">
        <v>70</v>
      </c>
      <c r="F10" s="22">
        <v>90</v>
      </c>
      <c r="H10" s="10">
        <f t="shared" si="0"/>
        <v>305</v>
      </c>
      <c r="I10" s="10">
        <f t="shared" si="1"/>
        <v>76.25</v>
      </c>
      <c r="K10" s="11"/>
      <c r="L10" s="11"/>
    </row>
    <row r="11" spans="1:16" x14ac:dyDescent="0.45">
      <c r="A11" s="12"/>
      <c r="B11" s="23">
        <v>3</v>
      </c>
      <c r="C11" s="16">
        <v>120</v>
      </c>
      <c r="D11" s="16">
        <v>205</v>
      </c>
      <c r="E11" s="16">
        <v>130</v>
      </c>
      <c r="F11" s="25">
        <v>145</v>
      </c>
      <c r="H11" s="10">
        <f t="shared" si="0"/>
        <v>600</v>
      </c>
      <c r="I11" s="10">
        <f t="shared" si="1"/>
        <v>150</v>
      </c>
      <c r="K11" s="11"/>
      <c r="L11" s="11"/>
    </row>
    <row r="12" spans="1:16" x14ac:dyDescent="0.45">
      <c r="A12" s="12">
        <v>4</v>
      </c>
      <c r="B12" s="21">
        <v>1</v>
      </c>
      <c r="C12" s="26">
        <v>50</v>
      </c>
      <c r="D12" s="26">
        <v>70</v>
      </c>
      <c r="E12" s="26">
        <v>45</v>
      </c>
      <c r="F12" s="22">
        <v>65</v>
      </c>
      <c r="H12" s="10">
        <f t="shared" si="0"/>
        <v>230</v>
      </c>
      <c r="I12" s="10">
        <f t="shared" si="1"/>
        <v>57.5</v>
      </c>
      <c r="K12" s="11">
        <f t="shared" ref="K12" si="7">SUM(C12:F14)</f>
        <v>815</v>
      </c>
      <c r="L12" s="11">
        <f t="shared" ref="L12" si="8">AVERAGE(C12:F14)</f>
        <v>67.916666666666671</v>
      </c>
    </row>
    <row r="13" spans="1:16" x14ac:dyDescent="0.45">
      <c r="A13" s="12"/>
      <c r="B13" s="21">
        <v>2</v>
      </c>
      <c r="C13" s="26">
        <v>65</v>
      </c>
      <c r="D13" s="26">
        <v>80</v>
      </c>
      <c r="E13" s="26">
        <v>70</v>
      </c>
      <c r="F13" s="22">
        <v>55</v>
      </c>
      <c r="H13" s="10">
        <f t="shared" si="0"/>
        <v>270</v>
      </c>
      <c r="I13" s="10">
        <f t="shared" si="1"/>
        <v>67.5</v>
      </c>
      <c r="K13" s="11"/>
      <c r="L13" s="11"/>
    </row>
    <row r="14" spans="1:16" x14ac:dyDescent="0.45">
      <c r="A14" s="12"/>
      <c r="B14" s="23">
        <v>3</v>
      </c>
      <c r="C14" s="16">
        <v>70</v>
      </c>
      <c r="D14" s="16">
        <v>85</v>
      </c>
      <c r="E14" s="16">
        <v>95</v>
      </c>
      <c r="F14" s="25">
        <v>65</v>
      </c>
      <c r="H14" s="10">
        <f t="shared" si="0"/>
        <v>315</v>
      </c>
      <c r="I14" s="10">
        <f t="shared" si="1"/>
        <v>78.75</v>
      </c>
      <c r="K14" s="11"/>
      <c r="L14" s="11"/>
    </row>
    <row r="16" spans="1:16" x14ac:dyDescent="0.45">
      <c r="B16" s="10" t="s">
        <v>42</v>
      </c>
      <c r="C16" s="10">
        <f>SUM(C3:C14)</f>
        <v>830</v>
      </c>
      <c r="D16" s="10">
        <f t="shared" ref="D16:F16" si="9">SUM(D3:D14)</f>
        <v>970</v>
      </c>
      <c r="E16" s="10">
        <f t="shared" si="9"/>
        <v>895</v>
      </c>
      <c r="F16" s="10">
        <f t="shared" si="9"/>
        <v>895</v>
      </c>
      <c r="H16" s="10">
        <f>SUM(C3:F14)</f>
        <v>3590</v>
      </c>
    </row>
    <row r="17" spans="2:18" x14ac:dyDescent="0.45">
      <c r="B17" s="10" t="s">
        <v>43</v>
      </c>
      <c r="C17" s="10">
        <f>AVERAGE(C3:C14)</f>
        <v>69.166666666666671</v>
      </c>
      <c r="D17" s="10">
        <f t="shared" ref="D17:F17" si="10">AVERAGE(D3:D14)</f>
        <v>80.833333333333329</v>
      </c>
      <c r="E17" s="10">
        <f t="shared" si="10"/>
        <v>74.583333333333329</v>
      </c>
      <c r="F17" s="10">
        <f t="shared" si="10"/>
        <v>74.583333333333329</v>
      </c>
    </row>
    <row r="18" spans="2:18" x14ac:dyDescent="0.45">
      <c r="J18" s="10" t="s">
        <v>46</v>
      </c>
      <c r="O18" s="10" t="s">
        <v>47</v>
      </c>
    </row>
    <row r="19" spans="2:18" x14ac:dyDescent="0.45">
      <c r="G19" s="10">
        <f>SUMSQ(C3:F14)</f>
        <v>306500</v>
      </c>
      <c r="H19" s="10">
        <f>H16^2/48</f>
        <v>268502.08333333331</v>
      </c>
      <c r="J19" s="11">
        <f>SUM(C3:C5)</f>
        <v>205</v>
      </c>
      <c r="K19" s="11">
        <f>SUM(D3:D5)</f>
        <v>210</v>
      </c>
      <c r="L19" s="11">
        <f>SUM(E3:E5)</f>
        <v>215</v>
      </c>
      <c r="M19" s="11">
        <f>SUM(F3:F5)</f>
        <v>205</v>
      </c>
      <c r="O19" s="11">
        <f>AVERAGE(C3:C5)</f>
        <v>68.333333333333329</v>
      </c>
      <c r="P19" s="11">
        <f>AVERAGE(D3:D5)</f>
        <v>70</v>
      </c>
      <c r="Q19" s="11">
        <f>AVERAGE(E3:E5)</f>
        <v>71.666666666666671</v>
      </c>
      <c r="R19" s="11">
        <f>AVERAGE(F3:F5)</f>
        <v>68.333333333333329</v>
      </c>
    </row>
    <row r="20" spans="2:18" x14ac:dyDescent="0.45">
      <c r="G20" s="10">
        <f>G19-H19</f>
        <v>37997.916666666686</v>
      </c>
      <c r="J20" s="11"/>
      <c r="K20" s="11"/>
      <c r="L20" s="11"/>
      <c r="M20" s="11"/>
      <c r="O20" s="11"/>
      <c r="P20" s="11"/>
      <c r="Q20" s="11"/>
      <c r="R20" s="11"/>
    </row>
    <row r="21" spans="2:18" x14ac:dyDescent="0.45">
      <c r="B21" s="10" t="s">
        <v>3</v>
      </c>
      <c r="C21" s="10">
        <f>SUMSQ(C3:F14)-(H16^2/48)</f>
        <v>37997.916666666686</v>
      </c>
      <c r="J21" s="11"/>
      <c r="K21" s="11"/>
      <c r="L21" s="11"/>
      <c r="M21" s="11"/>
      <c r="O21" s="11"/>
      <c r="P21" s="11"/>
      <c r="Q21" s="11"/>
      <c r="R21" s="11"/>
    </row>
    <row r="22" spans="2:18" x14ac:dyDescent="0.45">
      <c r="B22" s="10" t="s">
        <v>6</v>
      </c>
      <c r="C22" s="10">
        <f>SUMSQ(H3:H14)/(4) - H16^2/48</f>
        <v>28860.416666666686</v>
      </c>
      <c r="J22" s="11">
        <f>SUM(C6:C8)</f>
        <v>165</v>
      </c>
      <c r="K22" s="11">
        <f>SUM(D6:D8)</f>
        <v>170</v>
      </c>
      <c r="L22" s="11">
        <f>SUM(E6:E8)</f>
        <v>180</v>
      </c>
      <c r="M22" s="11">
        <f>SUM(F6:F8)</f>
        <v>185</v>
      </c>
      <c r="O22" s="11">
        <f>AVERAGE(C6:C8)</f>
        <v>55</v>
      </c>
      <c r="P22" s="11">
        <f>AVERAGE(D6:D8)</f>
        <v>56.666666666666664</v>
      </c>
      <c r="Q22" s="11">
        <f>AVERAGE(E6:E8)</f>
        <v>60</v>
      </c>
      <c r="R22" s="11">
        <f>AVERAGE(F6:F8)</f>
        <v>61.666666666666664</v>
      </c>
    </row>
    <row r="23" spans="2:18" x14ac:dyDescent="0.45">
      <c r="B23" s="10" t="s">
        <v>7</v>
      </c>
      <c r="C23" s="10">
        <f>SUMSQ(K3:K14)/(3*4) - H16^2/48</f>
        <v>13918.75</v>
      </c>
      <c r="J23" s="11"/>
      <c r="K23" s="11"/>
      <c r="L23" s="11"/>
      <c r="M23" s="11"/>
      <c r="O23" s="11"/>
      <c r="P23" s="11"/>
      <c r="Q23" s="11"/>
      <c r="R23" s="11"/>
    </row>
    <row r="24" spans="2:18" x14ac:dyDescent="0.45">
      <c r="B24" s="10" t="s">
        <v>8</v>
      </c>
      <c r="C24" s="10">
        <f>SUMSQ(O3:O5)/(4*4) - H16^2/48</f>
        <v>6019.7916666666861</v>
      </c>
      <c r="J24" s="11"/>
      <c r="K24" s="11"/>
      <c r="L24" s="11"/>
      <c r="M24" s="11"/>
      <c r="O24" s="11"/>
      <c r="P24" s="11"/>
      <c r="Q24" s="11"/>
      <c r="R24" s="11"/>
    </row>
    <row r="25" spans="2:18" x14ac:dyDescent="0.45">
      <c r="B25" s="10" t="s">
        <v>9</v>
      </c>
      <c r="C25" s="10">
        <f>C22-C23-C24</f>
        <v>8921.875</v>
      </c>
      <c r="J25" s="11">
        <f>SUM(C9:C11)</f>
        <v>275</v>
      </c>
      <c r="K25" s="11">
        <f>SUM(D9:D11)</f>
        <v>355</v>
      </c>
      <c r="L25" s="11">
        <f>SUM(E9:E11)</f>
        <v>290</v>
      </c>
      <c r="M25" s="11">
        <f>SUM(F9:F11)</f>
        <v>320</v>
      </c>
      <c r="O25" s="11">
        <f>AVERAGE(C9:C11)</f>
        <v>91.666666666666671</v>
      </c>
      <c r="P25" s="11">
        <f>AVERAGE(D9:D11)</f>
        <v>118.33333333333333</v>
      </c>
      <c r="Q25" s="11">
        <f>AVERAGE(E9:E11)</f>
        <v>96.666666666666671</v>
      </c>
      <c r="R25" s="11">
        <f>AVERAGE(F9:F11)</f>
        <v>106.66666666666667</v>
      </c>
    </row>
    <row r="26" spans="2:18" x14ac:dyDescent="0.45">
      <c r="B26" s="10" t="s">
        <v>49</v>
      </c>
      <c r="C26" s="10">
        <f>SUMSQ(C16:F16)/(3*4) - H16^2/48</f>
        <v>818.75</v>
      </c>
      <c r="J26" s="11"/>
      <c r="K26" s="11"/>
      <c r="L26" s="11"/>
      <c r="M26" s="11"/>
      <c r="O26" s="11"/>
      <c r="P26" s="11"/>
      <c r="Q26" s="11"/>
      <c r="R26" s="11"/>
    </row>
    <row r="27" spans="2:18" x14ac:dyDescent="0.45">
      <c r="B27" s="10" t="s">
        <v>10</v>
      </c>
      <c r="C27" s="10">
        <f>C21-C23-C24-C25-C26</f>
        <v>8318.75</v>
      </c>
      <c r="J27" s="11"/>
      <c r="K27" s="11"/>
      <c r="L27" s="11"/>
      <c r="M27" s="11"/>
      <c r="O27" s="11"/>
      <c r="P27" s="11"/>
      <c r="Q27" s="11"/>
      <c r="R27" s="11"/>
    </row>
    <row r="28" spans="2:18" x14ac:dyDescent="0.45">
      <c r="J28" s="11">
        <f>SUM(C12:C14)</f>
        <v>185</v>
      </c>
      <c r="K28" s="11">
        <f>SUM(D12:D14)</f>
        <v>235</v>
      </c>
      <c r="L28" s="11">
        <f>SUM(E12:E14)</f>
        <v>210</v>
      </c>
      <c r="M28" s="11">
        <f>SUM(F12:F14)</f>
        <v>185</v>
      </c>
      <c r="O28" s="11">
        <f>AVERAGE(C12:C14)</f>
        <v>61.666666666666664</v>
      </c>
      <c r="P28" s="11">
        <f>AVERAGE(D12:D14)</f>
        <v>78.333333333333329</v>
      </c>
      <c r="Q28" s="11">
        <f>AVERAGE(E12:E14)</f>
        <v>70</v>
      </c>
      <c r="R28" s="11">
        <f>AVERAGE(F12:F14)</f>
        <v>61.666666666666664</v>
      </c>
    </row>
    <row r="29" spans="2:18" x14ac:dyDescent="0.45">
      <c r="J29" s="11"/>
      <c r="K29" s="11"/>
      <c r="L29" s="11"/>
      <c r="M29" s="11"/>
      <c r="O29" s="11"/>
      <c r="P29" s="11"/>
      <c r="Q29" s="11"/>
      <c r="R29" s="11"/>
    </row>
    <row r="30" spans="2:18" x14ac:dyDescent="0.45">
      <c r="J30" s="11"/>
      <c r="K30" s="11"/>
      <c r="L30" s="11"/>
      <c r="M30" s="11"/>
      <c r="O30" s="11"/>
      <c r="P30" s="11"/>
      <c r="Q30" s="11"/>
      <c r="R30" s="11"/>
    </row>
    <row r="31" spans="2:18" x14ac:dyDescent="0.45">
      <c r="F31" s="10" t="e" cm="1">
        <f t="array" ref="F31">f</f>
        <v>#NAME?</v>
      </c>
    </row>
  </sheetData>
  <mergeCells count="47">
    <mergeCell ref="K3:K5"/>
    <mergeCell ref="K6:K8"/>
    <mergeCell ref="K9:K11"/>
    <mergeCell ref="K12:K14"/>
    <mergeCell ref="L3:L5"/>
    <mergeCell ref="L6:L8"/>
    <mergeCell ref="L9:L11"/>
    <mergeCell ref="L12:L14"/>
    <mergeCell ref="M22:M24"/>
    <mergeCell ref="L22:L24"/>
    <mergeCell ref="K22:K24"/>
    <mergeCell ref="M19:M21"/>
    <mergeCell ref="L19:L21"/>
    <mergeCell ref="K19:K21"/>
    <mergeCell ref="O25:O27"/>
    <mergeCell ref="P25:P27"/>
    <mergeCell ref="Q25:Q27"/>
    <mergeCell ref="R25:R27"/>
    <mergeCell ref="O28:O30"/>
    <mergeCell ref="P28:P30"/>
    <mergeCell ref="Q28:Q30"/>
    <mergeCell ref="R28:R30"/>
    <mergeCell ref="O19:O21"/>
    <mergeCell ref="P19:P21"/>
    <mergeCell ref="Q19:Q21"/>
    <mergeCell ref="R19:R21"/>
    <mergeCell ref="O22:O24"/>
    <mergeCell ref="P22:P24"/>
    <mergeCell ref="Q22:Q24"/>
    <mergeCell ref="R22:R24"/>
    <mergeCell ref="J25:J27"/>
    <mergeCell ref="K25:K27"/>
    <mergeCell ref="L25:L27"/>
    <mergeCell ref="M25:M27"/>
    <mergeCell ref="J28:J30"/>
    <mergeCell ref="K28:K30"/>
    <mergeCell ref="L28:L30"/>
    <mergeCell ref="M28:M30"/>
    <mergeCell ref="A12:A14"/>
    <mergeCell ref="J19:J21"/>
    <mergeCell ref="J22:J24"/>
    <mergeCell ref="C1:F1"/>
    <mergeCell ref="A1:A2"/>
    <mergeCell ref="B1:B2"/>
    <mergeCell ref="A3:A5"/>
    <mergeCell ref="A6:A8"/>
    <mergeCell ref="A9:A11"/>
  </mergeCells>
  <pageMargins left="0.7" right="0.7" top="0.75" bottom="0.75" header="0.3" footer="0.3"/>
  <ignoredErrors>
    <ignoredError sqref="C16:F17 H3:I14 J20:R30 O3:P4 P5 K19:R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2026-03-22T09:04:34Z</dcterms:created>
  <dcterms:modified xsi:type="dcterms:W3CDTF">2026-03-24T20:11:31Z</dcterms:modified>
</cp:coreProperties>
</file>