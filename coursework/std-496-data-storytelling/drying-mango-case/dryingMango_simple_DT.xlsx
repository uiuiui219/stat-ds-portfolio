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warisa\teaching\FST333\2-68\manual\"/>
    </mc:Choice>
  </mc:AlternateContent>
  <xr:revisionPtr revIDLastSave="0" documentId="13_ncr:1_{6F5EE5D4-10BF-4688-82EC-4D9E3ECD0F55}" xr6:coauthVersionLast="47" xr6:coauthVersionMax="47" xr10:uidLastSave="{00000000-0000-0000-0000-000000000000}"/>
  <bookViews>
    <workbookView xWindow="19090" yWindow="-4950" windowWidth="38620" windowHeight="21100" activeTab="1" xr2:uid="{00000000-000D-0000-FFFF-FFFF00000000}"/>
  </bookViews>
  <sheets>
    <sheet name="Sheet1" sheetId="1" r:id="rId1"/>
    <sheet name="Simple_D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" l="1"/>
  <c r="J10" i="2"/>
  <c r="I11" i="2"/>
  <c r="I10" i="2"/>
  <c r="B9" i="2"/>
  <c r="L14" i="2"/>
  <c r="J14" i="2"/>
  <c r="J23" i="2"/>
  <c r="L23" i="2" s="1"/>
  <c r="I23" i="2"/>
  <c r="H23" i="2"/>
  <c r="G23" i="2"/>
  <c r="F23" i="2"/>
  <c r="E23" i="2"/>
  <c r="K23" i="2" s="1"/>
  <c r="D23" i="2"/>
  <c r="C23" i="2"/>
  <c r="B23" i="2"/>
  <c r="A23" i="2"/>
  <c r="J22" i="2"/>
  <c r="L22" i="2" s="1"/>
  <c r="I22" i="2"/>
  <c r="H22" i="2"/>
  <c r="G22" i="2"/>
  <c r="F22" i="2"/>
  <c r="E22" i="2"/>
  <c r="K22" i="2" s="1"/>
  <c r="D22" i="2"/>
  <c r="C22" i="2"/>
  <c r="B22" i="2"/>
  <c r="A22" i="2"/>
  <c r="J21" i="2"/>
  <c r="L21" i="2" s="1"/>
  <c r="I21" i="2"/>
  <c r="H21" i="2"/>
  <c r="G21" i="2"/>
  <c r="F21" i="2"/>
  <c r="E21" i="2"/>
  <c r="K21" i="2" s="1"/>
  <c r="D21" i="2"/>
  <c r="C21" i="2"/>
  <c r="B21" i="2"/>
  <c r="A21" i="2"/>
  <c r="J20" i="2"/>
  <c r="L20" i="2" s="1"/>
  <c r="I20" i="2"/>
  <c r="H20" i="2"/>
  <c r="G20" i="2"/>
  <c r="F20" i="2"/>
  <c r="E20" i="2"/>
  <c r="K20" i="2" s="1"/>
  <c r="D20" i="2"/>
  <c r="C20" i="2"/>
  <c r="B20" i="2"/>
  <c r="A20" i="2"/>
  <c r="J19" i="2"/>
  <c r="L19" i="2" s="1"/>
  <c r="I19" i="2"/>
  <c r="H19" i="2"/>
  <c r="G19" i="2"/>
  <c r="F19" i="2"/>
  <c r="E19" i="2"/>
  <c r="K19" i="2" s="1"/>
  <c r="D19" i="2"/>
  <c r="C19" i="2"/>
  <c r="B19" i="2"/>
  <c r="A19" i="2"/>
  <c r="J18" i="2"/>
  <c r="L18" i="2" s="1"/>
  <c r="I18" i="2"/>
  <c r="H18" i="2"/>
  <c r="G18" i="2"/>
  <c r="F18" i="2"/>
  <c r="E18" i="2"/>
  <c r="K18" i="2" s="1"/>
  <c r="D18" i="2"/>
  <c r="C18" i="2"/>
  <c r="B18" i="2"/>
  <c r="A18" i="2"/>
  <c r="J17" i="2"/>
  <c r="L17" i="2" s="1"/>
  <c r="I17" i="2"/>
  <c r="H17" i="2"/>
  <c r="G17" i="2"/>
  <c r="F17" i="2"/>
  <c r="E17" i="2"/>
  <c r="K17" i="2" s="1"/>
  <c r="D17" i="2"/>
  <c r="C17" i="2"/>
  <c r="B17" i="2"/>
  <c r="A17" i="2"/>
  <c r="J16" i="2"/>
  <c r="L16" i="2" s="1"/>
  <c r="I16" i="2"/>
  <c r="H16" i="2"/>
  <c r="G16" i="2"/>
  <c r="F16" i="2"/>
  <c r="E16" i="2"/>
  <c r="K16" i="2" s="1"/>
  <c r="D16" i="2"/>
  <c r="C16" i="2"/>
  <c r="B16" i="2"/>
  <c r="A16" i="2"/>
  <c r="J15" i="2"/>
  <c r="L15" i="2" s="1"/>
  <c r="I15" i="2"/>
  <c r="H15" i="2"/>
  <c r="G15" i="2"/>
  <c r="F15" i="2"/>
  <c r="E15" i="2"/>
  <c r="K15" i="2" s="1"/>
  <c r="D15" i="2"/>
  <c r="C15" i="2"/>
  <c r="B15" i="2"/>
  <c r="A15" i="2"/>
  <c r="I14" i="2"/>
  <c r="H14" i="2"/>
  <c r="G14" i="2"/>
  <c r="F14" i="2"/>
  <c r="E14" i="2"/>
  <c r="K14" i="2" s="1"/>
  <c r="D14" i="2"/>
  <c r="C14" i="2"/>
  <c r="B14" i="2"/>
  <c r="A14" i="2"/>
  <c r="P14" i="2" l="1"/>
  <c r="M14" i="2"/>
  <c r="O14" i="2"/>
  <c r="P15" i="2"/>
  <c r="M15" i="2"/>
  <c r="N15" i="2" s="1"/>
  <c r="O15" i="2"/>
  <c r="P19" i="2"/>
  <c r="M19" i="2"/>
  <c r="N19" i="2" s="1"/>
  <c r="O19" i="2"/>
  <c r="P23" i="2"/>
  <c r="M23" i="2"/>
  <c r="N23" i="2" s="1"/>
  <c r="O23" i="2"/>
  <c r="P21" i="2"/>
  <c r="M21" i="2"/>
  <c r="N21" i="2" s="1"/>
  <c r="O21" i="2"/>
  <c r="P18" i="2"/>
  <c r="M18" i="2"/>
  <c r="N18" i="2" s="1"/>
  <c r="O18" i="2"/>
  <c r="P22" i="2"/>
  <c r="M22" i="2"/>
  <c r="N22" i="2" s="1"/>
  <c r="O22" i="2"/>
  <c r="P16" i="2"/>
  <c r="M16" i="2"/>
  <c r="N16" i="2" s="1"/>
  <c r="O16" i="2"/>
  <c r="P20" i="2"/>
  <c r="M20" i="2"/>
  <c r="N20" i="2" s="1"/>
  <c r="O20" i="2"/>
  <c r="P17" i="2"/>
  <c r="M17" i="2"/>
  <c r="N17" i="2" s="1"/>
  <c r="O17" i="2"/>
  <c r="N14" i="2" l="1"/>
  <c r="B10" i="2" l="1"/>
  <c r="B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Editable threshold for moisture split</t>
        </r>
      </text>
    </comment>
    <comment ref="B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Editable threshold for low inlet temperature</t>
        </r>
      </text>
    </comment>
    <comment ref="B7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Editable threshold for high line speed</t>
        </r>
      </text>
    </comment>
  </commentList>
</comments>
</file>

<file path=xl/sharedStrings.xml><?xml version="1.0" encoding="utf-8"?>
<sst xmlns="http://schemas.openxmlformats.org/spreadsheetml/2006/main" count="99" uniqueCount="66">
  <si>
    <t>No.</t>
  </si>
  <si>
    <t>timestamp</t>
  </si>
  <si>
    <t>batch_no</t>
  </si>
  <si>
    <t>inlet_temp( C )</t>
  </si>
  <si>
    <t>moisture(%)</t>
  </si>
  <si>
    <t>line_speed(m/min)</t>
  </si>
  <si>
    <t>alarm_code</t>
  </si>
  <si>
    <t>operator_shift</t>
  </si>
  <si>
    <t>qc_result</t>
  </si>
  <si>
    <t>B-01</t>
  </si>
  <si>
    <t>none</t>
  </si>
  <si>
    <t>A</t>
  </si>
  <si>
    <t>PASS</t>
  </si>
  <si>
    <t>A12</t>
  </si>
  <si>
    <t>B-02</t>
  </si>
  <si>
    <t>A07</t>
  </si>
  <si>
    <t>FAIL</t>
  </si>
  <si>
    <t>B-03</t>
  </si>
  <si>
    <t>A15</t>
  </si>
  <si>
    <t>B</t>
  </si>
  <si>
    <t>B-04</t>
  </si>
  <si>
    <t>C</t>
  </si>
  <si>
    <t>Simple Decision Tree Example (Excel) - Drying Mango</t>
  </si>
  <si>
    <t>ตัวอย่างสำหรับการเรียนการสอน: ใช้ threshold ง่ายๆ ใน Excel เพื่อจำแนก PASS/FAIL จากข้อมูลกระบวนการผลิต</t>
  </si>
  <si>
    <t>Thresholds (editable)</t>
  </si>
  <si>
    <t>Teaching note</t>
  </si>
  <si>
    <t>Moisture cutoff</t>
  </si>
  <si>
    <t>%</t>
  </si>
  <si>
    <t>Temp cutoff</t>
  </si>
  <si>
    <t>°C</t>
  </si>
  <si>
    <t>2) Else if alarm_present=1 and temp &lt; cutoff and speed &gt;= cutoff -&gt; FAIL</t>
  </si>
  <si>
    <t>Line speed cutoff</t>
  </si>
  <si>
    <t>m/min</t>
  </si>
  <si>
    <t>3) Else -&gt; PASS</t>
  </si>
  <si>
    <t>Summary</t>
  </si>
  <si>
    <t>Confusion matrix</t>
  </si>
  <si>
    <t>Total rows</t>
  </si>
  <si>
    <t/>
  </si>
  <si>
    <t>Actual PASS</t>
  </si>
  <si>
    <t>Actual FAIL</t>
  </si>
  <si>
    <t>Correct predictions</t>
  </si>
  <si>
    <t>Pred PASS</t>
  </si>
  <si>
    <t>Accuracy</t>
  </si>
  <si>
    <t>Pred FAIL</t>
  </si>
  <si>
    <t>inlet_temp</t>
  </si>
  <si>
    <t>moisture</t>
  </si>
  <si>
    <t>line_speed</t>
  </si>
  <si>
    <t>alarm_present</t>
  </si>
  <si>
    <t>rule_1_moisture</t>
  </si>
  <si>
    <t>rule_2_alarm-temp-speed</t>
  </si>
  <si>
    <t>predicted_qc</t>
  </si>
  <si>
    <t>actual_match?</t>
  </si>
  <si>
    <t>scorecard</t>
  </si>
  <si>
    <t>explanation</t>
  </si>
  <si>
    <t>How to use in class: ปรับ threshold ใน B5:B7 แล้วสังเกตว่าคอลัมน์ predicted_qc, actual_match? และ accuracy เปลี่ยนอย่างไร เพื่อให้นักศึกษาเห็นหลักการของ decision tree แบบง่ายๆ ใน Excel</t>
  </si>
  <si>
    <t>1) If moisture &gt;=Moisture  cutoff -&gt; FAIL</t>
  </si>
  <si>
    <t>ที่มา: https://encord.com/glossary/confusion-matrix/</t>
  </si>
  <si>
    <t>Decision tree logic (rule-based model)</t>
  </si>
  <si>
    <t xml:space="preserve">Confusion matrix: เป็นตารางที่ใช้สำหรับประเมินผลการจำแนกประเภทของโมเดล โดยเปรียบเทียบระหว่าง ผลจริง (Actual class) กับ ผลที่โมเดลทำนาย (Predicted class) </t>
  </si>
  <si>
    <t xml:space="preserve">เพื่อให้เห็นว่าโมเดลทำนายถูกต้องหรือผิดพลาดในลักษณะใด ไม่ได้พิจารณาเฉพาะความแม่นยำโดยรวมเท่านั้น แต่ยังช่วยให้เราเข้าใจชนิดของความผิดพลาด </t>
  </si>
  <si>
    <t>Accuracy : สัดส่วนของการทำนายที่ถูกต้องทั้งหมดเมื่อเทียบกับจำนวนข้อมูลทั้งหมด</t>
  </si>
  <si>
    <t>Precision: สัดส่วนของการทำนายผลบวกที่ถูกต้อง (TP) เมื่อเทียบกับจำนวนผลการทำนายที่เป็นบวก (TP + FP)</t>
  </si>
  <si>
    <t>Specificity : สัดส่วนของการทำนายผลลบที่ถูกต้อง (TN) เมื่อเทียบกับจำนวนผลลบที่เกิดขึ้นจริง (TP + FN)</t>
  </si>
  <si>
    <t>Sensitivity: สัดส่วนของการทำนายผลบวกที่ถูกต้อง (TP) เมื่อเทียบกับจำนวนผลบวก (TP + FN) ที่เกิดขึ้นจริง</t>
  </si>
  <si>
    <t>Negative Predictive Value (NPV) : สัดส่วนของการทำนายผลลบที่ถูกต้อง (TN) เมื่อเทียบกับจำนวนผลการทำนายที่เป็นลบ (TN + FN)</t>
  </si>
  <si>
    <t xml:space="preserve"> decision tree แบบง่ายเพื่อสาธิตใน Excel เท่านั้น
หมายเหตุ: ถ้า moisture เป็นค่าที่รู้หลัง QC จริง ไม่ควรใช้เพื่อทำ forward prediction ในงานจริง (data leakage)
แต่สามารถใช้ในชั้นเรียนเพื่อให้เห็นหลักการ classification 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</si>
</sst>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ptos"/>
      <family val="2"/>
    </font>
    <font>
      <sz val="10"/>
      <name val="Aptos"/>
      <family val="2"/>
    </font>
    <font>
      <b/>
      <sz val="11"/>
      <color rgb="FF1F1F1F"/>
      <name val="Aptos"/>
      <family val="2"/>
    </font>
    <font>
      <sz val="10"/>
      <color rgb="FF000000"/>
      <name val="Aptos"/>
      <family val="2"/>
    </font>
    <font>
      <b/>
      <sz val="10"/>
      <color rgb="FF0000FF"/>
      <name val="Aptos"/>
      <family val="2"/>
    </font>
    <font>
      <i/>
      <sz val="9"/>
      <color rgb="FF666666"/>
      <name val="Aptos"/>
      <family val="2"/>
    </font>
    <font>
      <b/>
      <sz val="10"/>
      <color rgb="FFFFFFFF"/>
      <name val="Aptos"/>
      <family val="2"/>
    </font>
    <font>
      <sz val="10"/>
      <color rgb="FF008000"/>
      <name val="Aptos"/>
      <family val="2"/>
    </font>
    <font>
      <i/>
      <sz val="10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rgb="FF1F4E78"/>
      </patternFill>
    </fill>
    <fill>
      <patternFill patternType="solid">
        <fgColor rgb="FFD9E8F5"/>
      </patternFill>
    </fill>
    <fill>
      <patternFill patternType="solid">
        <fgColor rgb="FFF3F4F6"/>
      </patternFill>
    </fill>
    <fill>
      <patternFill patternType="solid">
        <fgColor rgb="FFEAF2FF"/>
      </patternFill>
    </fill>
    <fill>
      <patternFill patternType="solid">
        <fgColor rgb="FFFFF3CD"/>
      </patternFill>
    </fill>
    <fill>
      <patternFill patternType="solid">
        <fgColor rgb="FF2F5597"/>
      </patternFill>
    </fill>
    <fill>
      <patternFill patternType="solid">
        <fgColor rgb="FFE9F7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  <border>
      <left style="medium">
        <color rgb="FF9FBAD0"/>
      </left>
      <right style="medium">
        <color rgb="FF9FBAD0"/>
      </right>
      <top style="medium">
        <color rgb="FF9FBAD0"/>
      </top>
      <bottom style="medium">
        <color rgb="FF9FBAD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0" fillId="0" borderId="2" xfId="0" applyBorder="1"/>
    <xf numFmtId="0" fontId="9" fillId="5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20" fontId="13" fillId="5" borderId="2" xfId="0" applyNumberFormat="1" applyFont="1" applyFill="1" applyBorder="1" applyAlignment="1">
      <alignment horizontal="center" vertical="center" wrapText="1"/>
    </xf>
    <xf numFmtId="165" fontId="13" fillId="5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" fontId="9" fillId="5" borderId="2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0" fontId="13" fillId="0" borderId="2" xfId="0" applyNumberFormat="1" applyFont="1" applyBorder="1" applyAlignment="1">
      <alignment horizontal="center" vertical="center" wrapText="1"/>
    </xf>
    <xf numFmtId="165" fontId="13" fillId="0" borderId="2" xfId="0" applyNumberFormat="1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0" fillId="12" borderId="2" xfId="0" applyFill="1" applyBorder="1"/>
    <xf numFmtId="0" fontId="9" fillId="12" borderId="2" xfId="0" applyFont="1" applyFill="1" applyBorder="1" applyAlignment="1">
      <alignment horizontal="center" vertical="center" wrapText="1"/>
    </xf>
    <xf numFmtId="0" fontId="1" fillId="0" borderId="0" xfId="0" applyFont="1"/>
    <xf numFmtId="0" fontId="6" fillId="3" borderId="0" xfId="0" applyFont="1" applyFill="1" applyAlignment="1">
      <alignment horizontal="center" vertical="center" wrapText="1"/>
    </xf>
    <xf numFmtId="0" fontId="0" fillId="0" borderId="0" xfId="0"/>
    <xf numFmtId="0" fontId="9" fillId="0" borderId="2" xfId="0" applyFont="1" applyBorder="1" applyAlignment="1">
      <alignment horizontal="left" vertical="center" wrapText="1"/>
    </xf>
    <xf numFmtId="0" fontId="0" fillId="0" borderId="2" xfId="0" applyBorder="1"/>
    <xf numFmtId="0" fontId="8" fillId="4" borderId="2" xfId="0" applyFont="1" applyFill="1" applyBorder="1" applyAlignment="1">
      <alignment horizontal="left" vertical="center" wrapText="1"/>
    </xf>
    <xf numFmtId="0" fontId="14" fillId="7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4">
    <dxf>
      <fill>
        <patternFill>
          <bgColor rgb="FFFDEDEC"/>
        </patternFill>
      </fill>
    </dxf>
    <dxf>
      <fill>
        <patternFill>
          <bgColor rgb="FFE9F7EF"/>
        </patternFill>
      </fill>
    </dxf>
    <dxf>
      <fill>
        <patternFill>
          <bgColor rgb="FFE9F7EF"/>
        </patternFill>
      </fill>
    </dxf>
    <dxf>
      <fill>
        <patternFill>
          <bgColor rgb="FFFDED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552450</xdr:colOff>
      <xdr:row>18</xdr:row>
      <xdr:rowOff>19050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5B2DDFC7-A931-8854-2607-07877224D5E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552450</xdr:colOff>
      <xdr:row>26</xdr:row>
      <xdr:rowOff>31750</xdr:rowOff>
    </xdr:to>
    <xdr:sp macro="" textlink="">
      <xdr:nvSpPr>
        <xdr:cNvPr id="2" name="AutoShape 4">
          <a:extLst>
            <a:ext uri="{FF2B5EF4-FFF2-40B4-BE49-F238E27FC236}">
              <a16:creationId xmlns:a16="http://schemas.microsoft.com/office/drawing/2014/main" id="{FCDD34AE-29F5-FC74-63E7-1FF522783C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946900" cy="634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552450</xdr:colOff>
      <xdr:row>26</xdr:row>
      <xdr:rowOff>31750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61FF1234-0683-9645-A0B3-DC3298BF81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946900" cy="63436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336550</xdr:colOff>
      <xdr:row>27</xdr:row>
      <xdr:rowOff>38100</xdr:rowOff>
    </xdr:from>
    <xdr:to>
      <xdr:col>8</xdr:col>
      <xdr:colOff>616293</xdr:colOff>
      <xdr:row>47</xdr:row>
      <xdr:rowOff>114493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9F0A121-2149-68EC-B9CD-CB62FB71A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550" y="6534150"/>
          <a:ext cx="6674193" cy="3759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E33" sqref="E33"/>
    </sheetView>
  </sheetViews>
  <sheetFormatPr defaultRowHeight="14.5" x14ac:dyDescent="0.35"/>
  <cols>
    <col min="2" max="2" width="14.90625" customWidth="1"/>
    <col min="3" max="3" width="13.7265625" customWidth="1"/>
    <col min="4" max="4" width="10.453125" customWidth="1"/>
    <col min="5" max="5" width="12.36328125" customWidth="1"/>
    <col min="6" max="6" width="10.453125" customWidth="1"/>
    <col min="7" max="7" width="11.08984375" customWidth="1"/>
    <col min="8" max="8" width="14.81640625" customWidth="1"/>
    <col min="9" max="9" width="10.08984375" customWidth="1"/>
  </cols>
  <sheetData>
    <row r="1" spans="1:9" ht="3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" customHeight="1" x14ac:dyDescent="0.7">
      <c r="A2" s="3">
        <v>1</v>
      </c>
      <c r="B2" s="4">
        <v>0.33333333333333331</v>
      </c>
      <c r="C2" s="5" t="s">
        <v>9</v>
      </c>
      <c r="D2" s="5">
        <v>78.2</v>
      </c>
      <c r="E2" s="5">
        <v>11.8</v>
      </c>
      <c r="F2" s="5">
        <v>2.5</v>
      </c>
      <c r="G2" s="5" t="s">
        <v>10</v>
      </c>
      <c r="H2" s="5" t="s">
        <v>11</v>
      </c>
      <c r="I2" s="5" t="s">
        <v>12</v>
      </c>
    </row>
    <row r="3" spans="1:9" ht="14" customHeight="1" x14ac:dyDescent="0.7">
      <c r="A3" s="3">
        <v>2</v>
      </c>
      <c r="B3" s="4">
        <v>0.34027777777777779</v>
      </c>
      <c r="C3" s="5" t="s">
        <v>9</v>
      </c>
      <c r="D3" s="5">
        <v>77.5</v>
      </c>
      <c r="E3" s="5">
        <v>12.4</v>
      </c>
      <c r="F3" s="5">
        <v>2.5</v>
      </c>
      <c r="G3" s="5" t="s">
        <v>13</v>
      </c>
      <c r="H3" s="5" t="s">
        <v>11</v>
      </c>
      <c r="I3" s="5" t="s">
        <v>12</v>
      </c>
    </row>
    <row r="4" spans="1:9" ht="14" customHeight="1" x14ac:dyDescent="0.7">
      <c r="A4" s="3">
        <v>3</v>
      </c>
      <c r="B4" s="4">
        <v>0.34722222222222221</v>
      </c>
      <c r="C4" s="5" t="s">
        <v>9</v>
      </c>
      <c r="D4" s="5">
        <v>76.8</v>
      </c>
      <c r="E4" s="5">
        <v>12.9</v>
      </c>
      <c r="F4" s="5">
        <v>2.4</v>
      </c>
      <c r="G4" s="5" t="s">
        <v>13</v>
      </c>
      <c r="H4" s="5" t="s">
        <v>11</v>
      </c>
      <c r="I4" s="5" t="s">
        <v>12</v>
      </c>
    </row>
    <row r="5" spans="1:9" ht="14" customHeight="1" x14ac:dyDescent="0.7">
      <c r="A5" s="3">
        <v>4</v>
      </c>
      <c r="B5" s="4">
        <v>0.35416666666666669</v>
      </c>
      <c r="C5" s="5" t="s">
        <v>14</v>
      </c>
      <c r="D5" s="5">
        <v>79.099999999999994</v>
      </c>
      <c r="E5" s="5">
        <v>11.5</v>
      </c>
      <c r="F5" s="5">
        <v>2.6</v>
      </c>
      <c r="G5" s="5" t="s">
        <v>10</v>
      </c>
      <c r="H5" s="5" t="s">
        <v>11</v>
      </c>
      <c r="I5" s="5" t="s">
        <v>12</v>
      </c>
    </row>
    <row r="6" spans="1:9" ht="14" customHeight="1" x14ac:dyDescent="0.7">
      <c r="A6" s="3">
        <v>5</v>
      </c>
      <c r="B6" s="4">
        <v>0.3611111111111111</v>
      </c>
      <c r="C6" s="5" t="s">
        <v>14</v>
      </c>
      <c r="D6" s="5">
        <v>76.8</v>
      </c>
      <c r="E6" s="5">
        <v>12.7</v>
      </c>
      <c r="F6" s="5">
        <v>2.5</v>
      </c>
      <c r="G6" s="5" t="s">
        <v>15</v>
      </c>
      <c r="H6" s="5" t="s">
        <v>11</v>
      </c>
      <c r="I6" s="5" t="s">
        <v>16</v>
      </c>
    </row>
    <row r="7" spans="1:9" ht="14" customHeight="1" x14ac:dyDescent="0.7">
      <c r="A7" s="3">
        <v>6</v>
      </c>
      <c r="B7" s="4">
        <v>0.36805555555555558</v>
      </c>
      <c r="C7" s="5" t="s">
        <v>14</v>
      </c>
      <c r="D7" s="5">
        <v>75.900000000000006</v>
      </c>
      <c r="E7" s="5">
        <v>13.1</v>
      </c>
      <c r="F7" s="5">
        <v>2.5</v>
      </c>
      <c r="G7" s="5" t="s">
        <v>15</v>
      </c>
      <c r="H7" s="5" t="s">
        <v>11</v>
      </c>
      <c r="I7" s="5" t="s">
        <v>16</v>
      </c>
    </row>
    <row r="8" spans="1:9" ht="14" customHeight="1" x14ac:dyDescent="0.7">
      <c r="A8" s="3">
        <v>7</v>
      </c>
      <c r="B8" s="4">
        <v>0.375</v>
      </c>
      <c r="C8" s="5" t="s">
        <v>17</v>
      </c>
      <c r="D8" s="5">
        <v>74.8</v>
      </c>
      <c r="E8" s="5">
        <v>13.5</v>
      </c>
      <c r="F8" s="5">
        <v>2.7</v>
      </c>
      <c r="G8" s="5" t="s">
        <v>18</v>
      </c>
      <c r="H8" s="5" t="s">
        <v>11</v>
      </c>
      <c r="I8" s="5" t="s">
        <v>16</v>
      </c>
    </row>
    <row r="9" spans="1:9" ht="14" customHeight="1" x14ac:dyDescent="0.7">
      <c r="A9" s="3">
        <v>8</v>
      </c>
      <c r="B9" s="4">
        <v>0.38194444444444442</v>
      </c>
      <c r="C9" s="5" t="s">
        <v>17</v>
      </c>
      <c r="D9" s="5">
        <v>74.5</v>
      </c>
      <c r="E9" s="5">
        <v>13.4</v>
      </c>
      <c r="F9" s="5">
        <v>2.7</v>
      </c>
      <c r="G9" s="5" t="s">
        <v>18</v>
      </c>
      <c r="H9" s="5" t="s">
        <v>19</v>
      </c>
      <c r="I9" s="5" t="s">
        <v>16</v>
      </c>
    </row>
    <row r="10" spans="1:9" ht="14" customHeight="1" x14ac:dyDescent="0.7">
      <c r="A10" s="3">
        <v>9</v>
      </c>
      <c r="B10" s="4">
        <v>0.3888888888888889</v>
      </c>
      <c r="C10" s="5" t="s">
        <v>17</v>
      </c>
      <c r="D10" s="5">
        <v>74.099999999999994</v>
      </c>
      <c r="E10" s="5">
        <v>13</v>
      </c>
      <c r="F10" s="5">
        <v>2.8</v>
      </c>
      <c r="G10" s="5" t="s">
        <v>10</v>
      </c>
      <c r="H10" s="5" t="s">
        <v>19</v>
      </c>
      <c r="I10" s="5" t="s">
        <v>16</v>
      </c>
    </row>
    <row r="11" spans="1:9" ht="14" customHeight="1" x14ac:dyDescent="0.7">
      <c r="A11" s="3">
        <v>10</v>
      </c>
      <c r="B11" s="4">
        <v>0.39583333333333331</v>
      </c>
      <c r="C11" s="5" t="s">
        <v>20</v>
      </c>
      <c r="D11" s="5">
        <v>73.8</v>
      </c>
      <c r="E11" s="5">
        <v>11.2</v>
      </c>
      <c r="F11" s="5">
        <v>2.6</v>
      </c>
      <c r="G11" s="5" t="s">
        <v>10</v>
      </c>
      <c r="H11" s="5" t="s">
        <v>21</v>
      </c>
      <c r="I11" s="5" t="s">
        <v>12</v>
      </c>
    </row>
    <row r="13" spans="1:9" x14ac:dyDescent="0.35">
      <c r="D13" s="11"/>
      <c r="E13" s="12"/>
    </row>
    <row r="14" spans="1:9" x14ac:dyDescent="0.35">
      <c r="B14" s="6"/>
      <c r="C14" s="6"/>
      <c r="D14" s="13"/>
      <c r="E14" s="7"/>
      <c r="F14" s="7"/>
      <c r="G14" s="6"/>
      <c r="H14" s="6"/>
      <c r="I14" s="6"/>
    </row>
    <row r="15" spans="1:9" x14ac:dyDescent="0.35">
      <c r="B15" s="8"/>
      <c r="C15" s="9"/>
      <c r="D15" s="10"/>
      <c r="E15" s="10"/>
      <c r="F15" s="10"/>
      <c r="G15" s="9"/>
      <c r="H15" s="9"/>
      <c r="I15" s="9"/>
    </row>
    <row r="16" spans="1:9" x14ac:dyDescent="0.35">
      <c r="B16" s="8"/>
      <c r="C16" s="9"/>
      <c r="D16" s="10"/>
      <c r="E16" s="10"/>
      <c r="F16" s="10"/>
      <c r="G16" s="9"/>
      <c r="H16" s="9"/>
      <c r="I16" s="9"/>
    </row>
    <row r="17" spans="2:9" x14ac:dyDescent="0.35">
      <c r="B17" s="8"/>
      <c r="C17" s="9"/>
      <c r="D17" s="10"/>
      <c r="E17" s="10"/>
      <c r="F17" s="10"/>
      <c r="G17" s="9"/>
      <c r="H17" s="9"/>
      <c r="I17" s="9"/>
    </row>
    <row r="18" spans="2:9" x14ac:dyDescent="0.35">
      <c r="B18" s="8"/>
      <c r="C18" s="9"/>
      <c r="D18" s="10"/>
      <c r="E18" s="10"/>
      <c r="F18" s="10"/>
      <c r="G18" s="9"/>
      <c r="H18" s="9"/>
      <c r="I18" s="9"/>
    </row>
    <row r="19" spans="2:9" x14ac:dyDescent="0.35">
      <c r="B19" s="8"/>
      <c r="C19" s="9"/>
      <c r="D19" s="10"/>
      <c r="E19" s="10"/>
      <c r="F19" s="10"/>
      <c r="G19" s="9"/>
      <c r="H19" s="9"/>
      <c r="I19" s="9"/>
    </row>
    <row r="20" spans="2:9" x14ac:dyDescent="0.35">
      <c r="B20" s="8"/>
      <c r="C20" s="9"/>
      <c r="D20" s="10"/>
      <c r="E20" s="10"/>
      <c r="F20" s="10"/>
      <c r="G20" s="9"/>
      <c r="H20" s="9"/>
      <c r="I20" s="9"/>
    </row>
    <row r="21" spans="2:9" x14ac:dyDescent="0.35">
      <c r="B21" s="8"/>
      <c r="C21" s="9"/>
      <c r="D21" s="10"/>
      <c r="E21" s="10"/>
      <c r="F21" s="10"/>
      <c r="G21" s="9"/>
      <c r="H21" s="9"/>
      <c r="I21" s="9"/>
    </row>
    <row r="22" spans="2:9" x14ac:dyDescent="0.35">
      <c r="B22" s="8"/>
      <c r="C22" s="9"/>
      <c r="D22" s="10"/>
      <c r="E22" s="10"/>
      <c r="F22" s="10"/>
      <c r="G22" s="9"/>
      <c r="H22" s="9"/>
      <c r="I22" s="9"/>
    </row>
    <row r="23" spans="2:9" x14ac:dyDescent="0.35">
      <c r="B23" s="8"/>
      <c r="C23" s="9"/>
      <c r="D23" s="10"/>
      <c r="E23" s="10"/>
      <c r="F23" s="10"/>
      <c r="G23" s="9"/>
      <c r="H23" s="9"/>
      <c r="I23" s="9"/>
    </row>
    <row r="24" spans="2:9" x14ac:dyDescent="0.35">
      <c r="B24" s="8"/>
      <c r="C24" s="9"/>
      <c r="D24" s="10"/>
      <c r="E24" s="10"/>
      <c r="F24" s="10"/>
      <c r="G24" s="9"/>
      <c r="H24" s="9"/>
      <c r="I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9"/>
  <sheetViews>
    <sheetView showGridLines="0" tabSelected="1" workbookViewId="0">
      <selection activeCell="R19" sqref="R19"/>
    </sheetView>
  </sheetViews>
  <sheetFormatPr defaultRowHeight="14.5" x14ac:dyDescent="0.35"/>
  <cols>
    <col min="1" max="1" width="11.90625" customWidth="1"/>
    <col min="2" max="2" width="10" customWidth="1"/>
    <col min="3" max="5" width="11" customWidth="1"/>
    <col min="6" max="6" width="12" customWidth="1"/>
    <col min="7" max="7" width="11.36328125" customWidth="1"/>
    <col min="8" max="8" width="13.26953125" customWidth="1"/>
    <col min="9" max="9" width="10" customWidth="1"/>
    <col min="10" max="10" width="12.90625" customWidth="1"/>
    <col min="11" max="11" width="14.7265625" customWidth="1"/>
    <col min="12" max="12" width="12.36328125" customWidth="1"/>
    <col min="13" max="13" width="12.7265625" customWidth="1"/>
    <col min="14" max="14" width="13" customWidth="1"/>
    <col min="15" max="15" width="11" customWidth="1"/>
    <col min="16" max="16" width="12.1796875" customWidth="1"/>
    <col min="17" max="17" width="18" customWidth="1"/>
  </cols>
  <sheetData>
    <row r="1" spans="1:17" x14ac:dyDescent="0.35">
      <c r="A1" s="40" t="s">
        <v>22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</row>
    <row r="2" spans="1:17" x14ac:dyDescent="0.35">
      <c r="A2" s="46" t="s">
        <v>23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4" spans="1:17" ht="29" x14ac:dyDescent="0.35">
      <c r="A4" s="14" t="s">
        <v>24</v>
      </c>
      <c r="B4" s="15"/>
      <c r="C4" s="15"/>
      <c r="D4" s="44" t="s">
        <v>57</v>
      </c>
      <c r="E4" s="43"/>
      <c r="F4" s="43"/>
      <c r="G4" s="43"/>
      <c r="H4" s="43"/>
      <c r="I4" s="43"/>
      <c r="J4" s="43"/>
      <c r="K4" s="44" t="s">
        <v>25</v>
      </c>
      <c r="L4" s="43"/>
      <c r="M4" s="43"/>
      <c r="N4" s="43"/>
      <c r="O4" s="43"/>
      <c r="P4" s="43"/>
      <c r="Q4" s="43"/>
    </row>
    <row r="5" spans="1:17" ht="26" x14ac:dyDescent="0.35">
      <c r="A5" s="16" t="s">
        <v>26</v>
      </c>
      <c r="B5" s="17">
        <v>13</v>
      </c>
      <c r="C5" s="18" t="s">
        <v>27</v>
      </c>
      <c r="D5" s="42" t="s">
        <v>55</v>
      </c>
      <c r="E5" s="43"/>
      <c r="F5" s="43"/>
      <c r="G5" s="43"/>
      <c r="H5" s="43"/>
      <c r="I5" s="43"/>
      <c r="J5" s="43"/>
      <c r="K5" s="47" t="s">
        <v>65</v>
      </c>
      <c r="L5" s="43"/>
      <c r="M5" s="43"/>
      <c r="N5" s="43"/>
      <c r="O5" s="43"/>
      <c r="P5" s="43"/>
      <c r="Q5" s="43"/>
    </row>
    <row r="6" spans="1:17" x14ac:dyDescent="0.35">
      <c r="A6" s="16" t="s">
        <v>28</v>
      </c>
      <c r="B6" s="17">
        <v>76.5</v>
      </c>
      <c r="C6" s="18" t="s">
        <v>29</v>
      </c>
      <c r="D6" s="42" t="s">
        <v>30</v>
      </c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</row>
    <row r="7" spans="1:17" ht="26" x14ac:dyDescent="0.35">
      <c r="A7" s="16" t="s">
        <v>31</v>
      </c>
      <c r="B7" s="17">
        <v>2.6</v>
      </c>
      <c r="C7" s="18" t="s">
        <v>32</v>
      </c>
      <c r="D7" s="42" t="s">
        <v>33</v>
      </c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</row>
    <row r="8" spans="1:17" ht="29" x14ac:dyDescent="0.35">
      <c r="A8" s="20" t="s">
        <v>34</v>
      </c>
      <c r="D8" s="36"/>
      <c r="E8" s="37"/>
      <c r="F8" s="37"/>
      <c r="H8" s="14" t="s">
        <v>35</v>
      </c>
      <c r="I8" s="15"/>
      <c r="J8" s="15"/>
    </row>
    <row r="9" spans="1:17" x14ac:dyDescent="0.35">
      <c r="A9" s="16" t="s">
        <v>36</v>
      </c>
      <c r="B9" s="21">
        <f>COUNTA(A14:A23)</f>
        <v>10</v>
      </c>
      <c r="D9" s="38"/>
      <c r="E9" s="38"/>
      <c r="F9" s="38"/>
      <c r="H9" s="22" t="s">
        <v>37</v>
      </c>
      <c r="I9" s="22" t="s">
        <v>41</v>
      </c>
      <c r="J9" s="22" t="s">
        <v>43</v>
      </c>
    </row>
    <row r="10" spans="1:17" ht="26" x14ac:dyDescent="0.35">
      <c r="A10" s="16" t="s">
        <v>40</v>
      </c>
      <c r="B10" s="21">
        <f>COUNTIF(N14:N23,"Yes")</f>
        <v>9</v>
      </c>
      <c r="D10" s="38"/>
      <c r="E10" s="38"/>
      <c r="F10" s="38"/>
      <c r="H10" s="22" t="s">
        <v>38</v>
      </c>
      <c r="I10" s="21">
        <f>COUNTIFS(M14:M23,"PASS",I14:I23,"PASS")</f>
        <v>5</v>
      </c>
      <c r="J10" s="21">
        <f>COUNTIFS(M14:M23,"FAIL",I14:I23,"PASS")</f>
        <v>0</v>
      </c>
    </row>
    <row r="11" spans="1:17" x14ac:dyDescent="0.35">
      <c r="A11" s="16" t="s">
        <v>42</v>
      </c>
      <c r="B11" s="23">
        <f>IF(B9=0,"",B10/B9)</f>
        <v>0.9</v>
      </c>
      <c r="D11" s="38"/>
      <c r="E11" s="38"/>
      <c r="F11" s="38"/>
      <c r="H11" s="22" t="s">
        <v>39</v>
      </c>
      <c r="I11" s="21">
        <f>COUNTIFS(M14:M23,"PASS",I14:I23,"FAIL")</f>
        <v>1</v>
      </c>
      <c r="J11" s="21">
        <f>COUNTIFS(M14:M23,"FAIL",I14:I23,"FAIL")</f>
        <v>4</v>
      </c>
    </row>
    <row r="13" spans="1:17" ht="46.5" customHeight="1" x14ac:dyDescent="0.35">
      <c r="A13" s="24" t="s">
        <v>0</v>
      </c>
      <c r="B13" s="24" t="s">
        <v>1</v>
      </c>
      <c r="C13" s="24" t="s">
        <v>2</v>
      </c>
      <c r="D13" s="24" t="s">
        <v>44</v>
      </c>
      <c r="E13" s="24" t="s">
        <v>45</v>
      </c>
      <c r="F13" s="24" t="s">
        <v>46</v>
      </c>
      <c r="G13" s="24" t="s">
        <v>6</v>
      </c>
      <c r="H13" s="24" t="s">
        <v>7</v>
      </c>
      <c r="I13" s="24" t="s">
        <v>8</v>
      </c>
      <c r="J13" s="24" t="s">
        <v>47</v>
      </c>
      <c r="K13" s="24" t="s">
        <v>48</v>
      </c>
      <c r="L13" s="24" t="s">
        <v>49</v>
      </c>
      <c r="M13" s="24" t="s">
        <v>50</v>
      </c>
      <c r="N13" s="24" t="s">
        <v>51</v>
      </c>
      <c r="O13" s="24" t="s">
        <v>52</v>
      </c>
      <c r="P13" s="24" t="s">
        <v>53</v>
      </c>
    </row>
    <row r="14" spans="1:17" x14ac:dyDescent="0.35">
      <c r="A14" s="25">
        <f>Sheet1!A2</f>
        <v>1</v>
      </c>
      <c r="B14" s="26">
        <f>Sheet1!B2</f>
        <v>0.33333333333333331</v>
      </c>
      <c r="C14" s="25" t="str">
        <f>Sheet1!C2</f>
        <v>B-01</v>
      </c>
      <c r="D14" s="27">
        <f>Sheet1!D2</f>
        <v>78.2</v>
      </c>
      <c r="E14" s="27">
        <f>Sheet1!E2</f>
        <v>11.8</v>
      </c>
      <c r="F14" s="27">
        <f>Sheet1!F2</f>
        <v>2.5</v>
      </c>
      <c r="G14" s="25" t="str">
        <f>Sheet1!G2</f>
        <v>none</v>
      </c>
      <c r="H14" s="25" t="str">
        <f>Sheet1!H2</f>
        <v>A</v>
      </c>
      <c r="I14" s="34" t="str">
        <f>Sheet1!I2</f>
        <v>PASS</v>
      </c>
      <c r="J14" s="22">
        <f>IF(OR(G14="none",G14="-",G14="N/A"),0,1)</f>
        <v>0</v>
      </c>
      <c r="K14" s="22">
        <f t="shared" ref="K14:K23" si="0">IF(E14&gt;=$B$5,1,0)</f>
        <v>0</v>
      </c>
      <c r="L14" s="22">
        <f>IF(AND(J14=1,D14&lt;$B$6,F14&gt;=$B$7),1,0)</f>
        <v>0</v>
      </c>
      <c r="M14" s="28" t="str">
        <f t="shared" ref="M14:M23" si="1">IF(K14=1,"FAIL",IF(L14=1,"FAIL","PASS"))</f>
        <v>PASS</v>
      </c>
      <c r="N14" s="22" t="str">
        <f t="shared" ref="N14:N23" si="2">IF(M14=I14,"Yes","No")</f>
        <v>Yes</v>
      </c>
      <c r="O14" s="29">
        <f t="shared" ref="O14:O23" si="3">K14+L14</f>
        <v>0</v>
      </c>
      <c r="P14" s="16" t="str">
        <f t="shared" ref="P14:P23" si="4">IF(K14=1,"moisture high",IF(L14=1,"alarm + temp low + speed high","else pass"))</f>
        <v>else pass</v>
      </c>
    </row>
    <row r="15" spans="1:17" x14ac:dyDescent="0.35">
      <c r="A15" s="30">
        <f>Sheet1!A3</f>
        <v>2</v>
      </c>
      <c r="B15" s="31">
        <f>Sheet1!B3</f>
        <v>0.34027777777777779</v>
      </c>
      <c r="C15" s="30" t="str">
        <f>Sheet1!C3</f>
        <v>B-01</v>
      </c>
      <c r="D15" s="32">
        <f>Sheet1!D3</f>
        <v>77.5</v>
      </c>
      <c r="E15" s="32">
        <f>Sheet1!E3</f>
        <v>12.4</v>
      </c>
      <c r="F15" s="32">
        <f>Sheet1!F3</f>
        <v>2.5</v>
      </c>
      <c r="G15" s="30" t="str">
        <f>Sheet1!G3</f>
        <v>A12</v>
      </c>
      <c r="H15" s="30" t="str">
        <f>Sheet1!H3</f>
        <v>A</v>
      </c>
      <c r="I15" s="34" t="str">
        <f>Sheet1!I3</f>
        <v>PASS</v>
      </c>
      <c r="J15" s="21">
        <f t="shared" ref="J15:J23" si="5">IF(OR(G15="none",G15="-",G15="N/A"),0,1)</f>
        <v>1</v>
      </c>
      <c r="K15" s="21">
        <f t="shared" si="0"/>
        <v>0</v>
      </c>
      <c r="L15" s="21">
        <f t="shared" ref="L15:L23" si="6">IF(AND(J15=1,D15&lt;$B$6,F15&gt;=$B$7),1,0)</f>
        <v>0</v>
      </c>
      <c r="M15" s="28" t="str">
        <f t="shared" si="1"/>
        <v>PASS</v>
      </c>
      <c r="N15" s="21" t="str">
        <f t="shared" si="2"/>
        <v>Yes</v>
      </c>
      <c r="O15" s="33">
        <f t="shared" si="3"/>
        <v>0</v>
      </c>
      <c r="P15" s="19" t="str">
        <f t="shared" si="4"/>
        <v>else pass</v>
      </c>
    </row>
    <row r="16" spans="1:17" x14ac:dyDescent="0.35">
      <c r="A16" s="25">
        <f>Sheet1!A4</f>
        <v>3</v>
      </c>
      <c r="B16" s="26">
        <f>Sheet1!B4</f>
        <v>0.34722222222222221</v>
      </c>
      <c r="C16" s="25" t="str">
        <f>Sheet1!C4</f>
        <v>B-01</v>
      </c>
      <c r="D16" s="27">
        <f>Sheet1!D4</f>
        <v>76.8</v>
      </c>
      <c r="E16" s="27">
        <f>Sheet1!E4</f>
        <v>12.9</v>
      </c>
      <c r="F16" s="27">
        <f>Sheet1!F4</f>
        <v>2.4</v>
      </c>
      <c r="G16" s="25" t="str">
        <f>Sheet1!G4</f>
        <v>A12</v>
      </c>
      <c r="H16" s="25" t="str">
        <f>Sheet1!H4</f>
        <v>A</v>
      </c>
      <c r="I16" s="34" t="str">
        <f>Sheet1!I4</f>
        <v>PASS</v>
      </c>
      <c r="J16" s="22">
        <f t="shared" si="5"/>
        <v>1</v>
      </c>
      <c r="K16" s="22">
        <f t="shared" si="0"/>
        <v>0</v>
      </c>
      <c r="L16" s="22">
        <f t="shared" si="6"/>
        <v>0</v>
      </c>
      <c r="M16" s="28" t="str">
        <f t="shared" si="1"/>
        <v>PASS</v>
      </c>
      <c r="N16" s="22" t="str">
        <f t="shared" si="2"/>
        <v>Yes</v>
      </c>
      <c r="O16" s="29">
        <f t="shared" si="3"/>
        <v>0</v>
      </c>
      <c r="P16" s="16" t="str">
        <f t="shared" si="4"/>
        <v>else pass</v>
      </c>
    </row>
    <row r="17" spans="1:17" x14ac:dyDescent="0.35">
      <c r="A17" s="30">
        <f>Sheet1!A5</f>
        <v>4</v>
      </c>
      <c r="B17" s="31">
        <f>Sheet1!B5</f>
        <v>0.35416666666666669</v>
      </c>
      <c r="C17" s="30" t="str">
        <f>Sheet1!C5</f>
        <v>B-02</v>
      </c>
      <c r="D17" s="32">
        <f>Sheet1!D5</f>
        <v>79.099999999999994</v>
      </c>
      <c r="E17" s="32">
        <f>Sheet1!E5</f>
        <v>11.5</v>
      </c>
      <c r="F17" s="32">
        <f>Sheet1!F5</f>
        <v>2.6</v>
      </c>
      <c r="G17" s="30" t="str">
        <f>Sheet1!G5</f>
        <v>none</v>
      </c>
      <c r="H17" s="30" t="str">
        <f>Sheet1!H5</f>
        <v>A</v>
      </c>
      <c r="I17" s="34" t="str">
        <f>Sheet1!I5</f>
        <v>PASS</v>
      </c>
      <c r="J17" s="21">
        <f t="shared" si="5"/>
        <v>0</v>
      </c>
      <c r="K17" s="21">
        <f t="shared" si="0"/>
        <v>0</v>
      </c>
      <c r="L17" s="21">
        <f t="shared" si="6"/>
        <v>0</v>
      </c>
      <c r="M17" s="28" t="str">
        <f t="shared" si="1"/>
        <v>PASS</v>
      </c>
      <c r="N17" s="21" t="str">
        <f t="shared" si="2"/>
        <v>Yes</v>
      </c>
      <c r="O17" s="33">
        <f t="shared" si="3"/>
        <v>0</v>
      </c>
      <c r="P17" s="19" t="str">
        <f t="shared" si="4"/>
        <v>else pass</v>
      </c>
    </row>
    <row r="18" spans="1:17" x14ac:dyDescent="0.35">
      <c r="A18" s="25">
        <f>Sheet1!A6</f>
        <v>5</v>
      </c>
      <c r="B18" s="26">
        <f>Sheet1!B6</f>
        <v>0.3611111111111111</v>
      </c>
      <c r="C18" s="25" t="str">
        <f>Sheet1!C6</f>
        <v>B-02</v>
      </c>
      <c r="D18" s="27">
        <f>Sheet1!D6</f>
        <v>76.8</v>
      </c>
      <c r="E18" s="27">
        <f>Sheet1!E6</f>
        <v>12.7</v>
      </c>
      <c r="F18" s="27">
        <f>Sheet1!F6</f>
        <v>2.5</v>
      </c>
      <c r="G18" s="25" t="str">
        <f>Sheet1!G6</f>
        <v>A07</v>
      </c>
      <c r="H18" s="25" t="str">
        <f>Sheet1!H6</f>
        <v>A</v>
      </c>
      <c r="I18" s="34" t="str">
        <f>Sheet1!I6</f>
        <v>FAIL</v>
      </c>
      <c r="J18" s="22">
        <f t="shared" si="5"/>
        <v>1</v>
      </c>
      <c r="K18" s="22">
        <f t="shared" si="0"/>
        <v>0</v>
      </c>
      <c r="L18" s="22">
        <f t="shared" si="6"/>
        <v>0</v>
      </c>
      <c r="M18" s="28" t="str">
        <f t="shared" si="1"/>
        <v>PASS</v>
      </c>
      <c r="N18" s="22" t="str">
        <f t="shared" si="2"/>
        <v>No</v>
      </c>
      <c r="O18" s="29">
        <f t="shared" si="3"/>
        <v>0</v>
      </c>
      <c r="P18" s="16" t="str">
        <f t="shared" si="4"/>
        <v>else pass</v>
      </c>
    </row>
    <row r="19" spans="1:17" x14ac:dyDescent="0.35">
      <c r="A19" s="30">
        <f>Sheet1!A7</f>
        <v>6</v>
      </c>
      <c r="B19" s="31">
        <f>Sheet1!B7</f>
        <v>0.36805555555555558</v>
      </c>
      <c r="C19" s="30" t="str">
        <f>Sheet1!C7</f>
        <v>B-02</v>
      </c>
      <c r="D19" s="32">
        <f>Sheet1!D7</f>
        <v>75.900000000000006</v>
      </c>
      <c r="E19" s="32">
        <f>Sheet1!E7</f>
        <v>13.1</v>
      </c>
      <c r="F19" s="32">
        <f>Sheet1!F7</f>
        <v>2.5</v>
      </c>
      <c r="G19" s="30" t="str">
        <f>Sheet1!G7</f>
        <v>A07</v>
      </c>
      <c r="H19" s="30" t="str">
        <f>Sheet1!H7</f>
        <v>A</v>
      </c>
      <c r="I19" s="35" t="str">
        <f>Sheet1!I7</f>
        <v>FAIL</v>
      </c>
      <c r="J19" s="21">
        <f t="shared" si="5"/>
        <v>1</v>
      </c>
      <c r="K19" s="21">
        <f t="shared" si="0"/>
        <v>1</v>
      </c>
      <c r="L19" s="21">
        <f t="shared" si="6"/>
        <v>0</v>
      </c>
      <c r="M19" s="28" t="str">
        <f t="shared" si="1"/>
        <v>FAIL</v>
      </c>
      <c r="N19" s="21" t="str">
        <f t="shared" si="2"/>
        <v>Yes</v>
      </c>
      <c r="O19" s="33">
        <f t="shared" si="3"/>
        <v>1</v>
      </c>
      <c r="P19" s="19" t="str">
        <f t="shared" si="4"/>
        <v>moisture high</v>
      </c>
    </row>
    <row r="20" spans="1:17" x14ac:dyDescent="0.35">
      <c r="A20" s="25">
        <f>Sheet1!A8</f>
        <v>7</v>
      </c>
      <c r="B20" s="26">
        <f>Sheet1!B8</f>
        <v>0.375</v>
      </c>
      <c r="C20" s="25" t="str">
        <f>Sheet1!C8</f>
        <v>B-03</v>
      </c>
      <c r="D20" s="27">
        <f>Sheet1!D8</f>
        <v>74.8</v>
      </c>
      <c r="E20" s="27">
        <f>Sheet1!E8</f>
        <v>13.5</v>
      </c>
      <c r="F20" s="27">
        <f>Sheet1!F8</f>
        <v>2.7</v>
      </c>
      <c r="G20" s="25" t="str">
        <f>Sheet1!G8</f>
        <v>A15</v>
      </c>
      <c r="H20" s="25" t="str">
        <f>Sheet1!H8</f>
        <v>A</v>
      </c>
      <c r="I20" s="35" t="str">
        <f>Sheet1!I8</f>
        <v>FAIL</v>
      </c>
      <c r="J20" s="22">
        <f t="shared" si="5"/>
        <v>1</v>
      </c>
      <c r="K20" s="22">
        <f t="shared" si="0"/>
        <v>1</v>
      </c>
      <c r="L20" s="22">
        <f t="shared" si="6"/>
        <v>1</v>
      </c>
      <c r="M20" s="28" t="str">
        <f t="shared" si="1"/>
        <v>FAIL</v>
      </c>
      <c r="N20" s="22" t="str">
        <f t="shared" si="2"/>
        <v>Yes</v>
      </c>
      <c r="O20" s="29">
        <f t="shared" si="3"/>
        <v>2</v>
      </c>
      <c r="P20" s="16" t="str">
        <f t="shared" si="4"/>
        <v>moisture high</v>
      </c>
    </row>
    <row r="21" spans="1:17" x14ac:dyDescent="0.35">
      <c r="A21" s="30">
        <f>Sheet1!A9</f>
        <v>8</v>
      </c>
      <c r="B21" s="31">
        <f>Sheet1!B9</f>
        <v>0.38194444444444442</v>
      </c>
      <c r="C21" s="30" t="str">
        <f>Sheet1!C9</f>
        <v>B-03</v>
      </c>
      <c r="D21" s="32">
        <f>Sheet1!D9</f>
        <v>74.5</v>
      </c>
      <c r="E21" s="32">
        <f>Sheet1!E9</f>
        <v>13.4</v>
      </c>
      <c r="F21" s="32">
        <f>Sheet1!F9</f>
        <v>2.7</v>
      </c>
      <c r="G21" s="30" t="str">
        <f>Sheet1!G9</f>
        <v>A15</v>
      </c>
      <c r="H21" s="30" t="str">
        <f>Sheet1!H9</f>
        <v>B</v>
      </c>
      <c r="I21" s="35" t="str">
        <f>Sheet1!I9</f>
        <v>FAIL</v>
      </c>
      <c r="J21" s="21">
        <f t="shared" si="5"/>
        <v>1</v>
      </c>
      <c r="K21" s="21">
        <f t="shared" si="0"/>
        <v>1</v>
      </c>
      <c r="L21" s="21">
        <f t="shared" si="6"/>
        <v>1</v>
      </c>
      <c r="M21" s="28" t="str">
        <f t="shared" si="1"/>
        <v>FAIL</v>
      </c>
      <c r="N21" s="21" t="str">
        <f t="shared" si="2"/>
        <v>Yes</v>
      </c>
      <c r="O21" s="33">
        <f t="shared" si="3"/>
        <v>2</v>
      </c>
      <c r="P21" s="19" t="str">
        <f t="shared" si="4"/>
        <v>moisture high</v>
      </c>
    </row>
    <row r="22" spans="1:17" x14ac:dyDescent="0.35">
      <c r="A22" s="25">
        <f>Sheet1!A10</f>
        <v>9</v>
      </c>
      <c r="B22" s="26">
        <f>Sheet1!B10</f>
        <v>0.3888888888888889</v>
      </c>
      <c r="C22" s="25" t="str">
        <f>Sheet1!C10</f>
        <v>B-03</v>
      </c>
      <c r="D22" s="27">
        <f>Sheet1!D10</f>
        <v>74.099999999999994</v>
      </c>
      <c r="E22" s="27">
        <f>Sheet1!E10</f>
        <v>13</v>
      </c>
      <c r="F22" s="27">
        <f>Sheet1!F10</f>
        <v>2.8</v>
      </c>
      <c r="G22" s="25" t="str">
        <f>Sheet1!G10</f>
        <v>none</v>
      </c>
      <c r="H22" s="25" t="str">
        <f>Sheet1!H10</f>
        <v>B</v>
      </c>
      <c r="I22" s="35" t="str">
        <f>Sheet1!I10</f>
        <v>FAIL</v>
      </c>
      <c r="J22" s="22">
        <f t="shared" si="5"/>
        <v>0</v>
      </c>
      <c r="K22" s="22">
        <f t="shared" si="0"/>
        <v>1</v>
      </c>
      <c r="L22" s="22">
        <f t="shared" si="6"/>
        <v>0</v>
      </c>
      <c r="M22" s="28" t="str">
        <f t="shared" si="1"/>
        <v>FAIL</v>
      </c>
      <c r="N22" s="22" t="str">
        <f t="shared" si="2"/>
        <v>Yes</v>
      </c>
      <c r="O22" s="29">
        <f t="shared" si="3"/>
        <v>1</v>
      </c>
      <c r="P22" s="16" t="str">
        <f t="shared" si="4"/>
        <v>moisture high</v>
      </c>
    </row>
    <row r="23" spans="1:17" x14ac:dyDescent="0.35">
      <c r="A23" s="30">
        <f>Sheet1!A11</f>
        <v>10</v>
      </c>
      <c r="B23" s="31">
        <f>Sheet1!B11</f>
        <v>0.39583333333333331</v>
      </c>
      <c r="C23" s="30" t="str">
        <f>Sheet1!C11</f>
        <v>B-04</v>
      </c>
      <c r="D23" s="32">
        <f>Sheet1!D11</f>
        <v>73.8</v>
      </c>
      <c r="E23" s="32">
        <f>Sheet1!E11</f>
        <v>11.2</v>
      </c>
      <c r="F23" s="32">
        <f>Sheet1!F11</f>
        <v>2.6</v>
      </c>
      <c r="G23" s="30" t="str">
        <f>Sheet1!G11</f>
        <v>none</v>
      </c>
      <c r="H23" s="30" t="str">
        <f>Sheet1!H11</f>
        <v>C</v>
      </c>
      <c r="I23" s="34" t="str">
        <f>Sheet1!I11</f>
        <v>PASS</v>
      </c>
      <c r="J23" s="21">
        <f t="shared" si="5"/>
        <v>0</v>
      </c>
      <c r="K23" s="21">
        <f t="shared" si="0"/>
        <v>0</v>
      </c>
      <c r="L23" s="21">
        <f t="shared" si="6"/>
        <v>0</v>
      </c>
      <c r="M23" s="28" t="str">
        <f t="shared" si="1"/>
        <v>PASS</v>
      </c>
      <c r="N23" s="21" t="str">
        <f t="shared" si="2"/>
        <v>Yes</v>
      </c>
      <c r="O23" s="33">
        <f t="shared" si="3"/>
        <v>0</v>
      </c>
      <c r="P23" s="19" t="str">
        <f t="shared" si="4"/>
        <v>else pass</v>
      </c>
    </row>
    <row r="25" spans="1:17" x14ac:dyDescent="0.35">
      <c r="A25" s="45" t="s">
        <v>54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x14ac:dyDescent="0.35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8" spans="1:17" x14ac:dyDescent="0.35">
      <c r="J28" s="39" t="s">
        <v>58</v>
      </c>
    </row>
    <row r="29" spans="1:17" x14ac:dyDescent="0.35">
      <c r="J29" s="39" t="s">
        <v>59</v>
      </c>
    </row>
    <row r="31" spans="1:17" x14ac:dyDescent="0.35">
      <c r="J31" s="39" t="s">
        <v>60</v>
      </c>
    </row>
    <row r="33" spans="10:10" x14ac:dyDescent="0.35">
      <c r="J33" s="39" t="s">
        <v>63</v>
      </c>
    </row>
    <row r="35" spans="10:10" x14ac:dyDescent="0.35">
      <c r="J35" s="39" t="s">
        <v>62</v>
      </c>
    </row>
    <row r="37" spans="10:10" x14ac:dyDescent="0.35">
      <c r="J37" s="39" t="s">
        <v>61</v>
      </c>
    </row>
    <row r="39" spans="10:10" x14ac:dyDescent="0.35">
      <c r="J39" s="39" t="s">
        <v>64</v>
      </c>
    </row>
    <row r="49" spans="2:2" x14ac:dyDescent="0.35">
      <c r="B49" t="s">
        <v>56</v>
      </c>
    </row>
  </sheetData>
  <mergeCells count="9">
    <mergeCell ref="A1:Q1"/>
    <mergeCell ref="D5:J5"/>
    <mergeCell ref="D4:J4"/>
    <mergeCell ref="K4:Q4"/>
    <mergeCell ref="A25:Q26"/>
    <mergeCell ref="D7:J7"/>
    <mergeCell ref="D6:J6"/>
    <mergeCell ref="A2:Q2"/>
    <mergeCell ref="K5:Q7"/>
  </mergeCells>
  <conditionalFormatting sqref="M14:M23">
    <cfRule type="cellIs" dxfId="3" priority="1" operator="equal">
      <formula>"FAIL"</formula>
    </cfRule>
    <cfRule type="cellIs" dxfId="2" priority="2" operator="equal">
      <formula>"PASS"</formula>
    </cfRule>
  </conditionalFormatting>
  <conditionalFormatting sqref="N14:N23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Simple_DT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Warisa</dc:creator>
  <cp:lastModifiedBy>WARISA YOMSATIEANKUL</cp:lastModifiedBy>
  <dcterms:created xsi:type="dcterms:W3CDTF">2026-03-15T05:17:39Z</dcterms:created>
  <dcterms:modified xsi:type="dcterms:W3CDTF">2026-04-28T03:35:43Z</dcterms:modified>
</cp:coreProperties>
</file>