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5\"/>
    </mc:Choice>
  </mc:AlternateContent>
  <xr:revisionPtr revIDLastSave="0" documentId="13_ncr:1_{FFCFD05A-B57F-4924-8202-87A170D4D543}" xr6:coauthVersionLast="47" xr6:coauthVersionMax="47" xr10:uidLastSave="{00000000-0000-0000-0000-000000000000}"/>
  <bookViews>
    <workbookView xWindow="-110" yWindow="-110" windowWidth="19420" windowHeight="11500" xr2:uid="{970F4991-053E-4908-A751-838BBF01B98E}"/>
  </bookViews>
  <sheets>
    <sheet name="Sheet1" sheetId="1" r:id="rId1"/>
  </sheets>
  <definedNames>
    <definedName name="_xlnm._FilterDatabase" localSheetId="0" hidden="1">Sheet1!$A$1:$K$51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" i="1"/>
  <c r="G51" i="1" l="1"/>
  <c r="F51" i="1"/>
  <c r="N18" i="1" l="1"/>
  <c r="H3" i="1" l="1"/>
  <c r="I3" i="1" s="1"/>
  <c r="H15" i="1"/>
  <c r="I15" i="1" s="1"/>
  <c r="H2" i="1"/>
  <c r="I2" i="1" s="1"/>
  <c r="H27" i="1"/>
  <c r="I27" i="1" s="1"/>
  <c r="H39" i="1"/>
  <c r="I39" i="1" s="1"/>
  <c r="H4" i="1"/>
  <c r="I4" i="1" s="1"/>
  <c r="H21" i="1"/>
  <c r="I21" i="1" s="1"/>
  <c r="H18" i="1"/>
  <c r="I18" i="1" s="1"/>
  <c r="H25" i="1"/>
  <c r="I25" i="1" s="1"/>
  <c r="H48" i="1"/>
  <c r="I48" i="1" s="1"/>
  <c r="H13" i="1"/>
  <c r="I13" i="1" s="1"/>
  <c r="H44" i="1"/>
  <c r="I44" i="1" s="1"/>
  <c r="H32" i="1"/>
  <c r="I32" i="1" s="1"/>
  <c r="H29" i="1"/>
  <c r="I29" i="1" s="1"/>
  <c r="H20" i="1"/>
  <c r="I20" i="1" s="1"/>
  <c r="H8" i="1"/>
  <c r="I8" i="1" s="1"/>
  <c r="H5" i="1"/>
  <c r="I5" i="1" s="1"/>
  <c r="H50" i="1"/>
  <c r="I50" i="1" s="1"/>
  <c r="H31" i="1"/>
  <c r="I31" i="1" s="1"/>
  <c r="H26" i="1"/>
  <c r="I26" i="1" s="1"/>
  <c r="H7" i="1"/>
  <c r="I7" i="1" s="1"/>
  <c r="H42" i="1"/>
  <c r="I42" i="1" s="1"/>
  <c r="H43" i="1"/>
  <c r="I43" i="1" s="1"/>
  <c r="H19" i="1"/>
  <c r="I19" i="1" s="1"/>
  <c r="H14" i="1"/>
  <c r="I14" i="1" s="1"/>
  <c r="H49" i="1"/>
  <c r="I49" i="1" s="1"/>
  <c r="H33" i="1"/>
  <c r="I33" i="1" s="1"/>
  <c r="H30" i="1"/>
  <c r="I30" i="1" s="1"/>
  <c r="H37" i="1"/>
  <c r="I37" i="1" s="1"/>
  <c r="H9" i="1"/>
  <c r="I9" i="1" s="1"/>
  <c r="H6" i="1"/>
  <c r="I6" i="1" s="1"/>
  <c r="H36" i="1"/>
  <c r="I36" i="1" s="1"/>
  <c r="H41" i="1"/>
  <c r="I41" i="1" s="1"/>
  <c r="H24" i="1"/>
  <c r="I24" i="1" s="1"/>
  <c r="H12" i="1"/>
  <c r="I12" i="1" s="1"/>
  <c r="H23" i="1"/>
  <c r="I23" i="1" s="1"/>
  <c r="H47" i="1"/>
  <c r="I47" i="1" s="1"/>
  <c r="H17" i="1"/>
  <c r="I17" i="1" s="1"/>
  <c r="H22" i="1"/>
  <c r="I22" i="1" s="1"/>
  <c r="H35" i="1"/>
  <c r="I35" i="1" s="1"/>
  <c r="H40" i="1"/>
  <c r="I40" i="1" s="1"/>
  <c r="H11" i="1"/>
  <c r="I11" i="1" s="1"/>
  <c r="H28" i="1"/>
  <c r="I28" i="1" s="1"/>
  <c r="H46" i="1"/>
  <c r="I46" i="1" s="1"/>
  <c r="H38" i="1"/>
  <c r="I38" i="1" s="1"/>
  <c r="H16" i="1"/>
  <c r="I16" i="1" s="1"/>
  <c r="H34" i="1"/>
  <c r="I34" i="1" s="1"/>
  <c r="H10" i="1"/>
  <c r="I10" i="1" s="1"/>
  <c r="H45" i="1"/>
  <c r="I45" i="1" s="1"/>
  <c r="T5" i="1" a="1"/>
  <c r="T5" i="1" s="1"/>
  <c r="T3" i="1" a="1"/>
  <c r="T3" i="1" s="1"/>
  <c r="T4" i="1" s="1" a="1"/>
  <c r="T4" i="1" s="1"/>
  <c r="T6" i="1" l="1"/>
  <c r="T7" i="1" s="1"/>
  <c r="N11" i="1"/>
  <c r="N10" i="1"/>
  <c r="N5" i="1"/>
  <c r="N8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  <c r="J2" i="1" l="1"/>
  <c r="J10" i="1"/>
  <c r="J22" i="1"/>
  <c r="J34" i="1"/>
  <c r="J46" i="1"/>
  <c r="J47" i="1"/>
  <c r="J36" i="1"/>
  <c r="J25" i="1"/>
  <c r="J37" i="1"/>
  <c r="J14" i="1"/>
  <c r="J38" i="1"/>
  <c r="J3" i="1"/>
  <c r="J39" i="1"/>
  <c r="J4" i="1"/>
  <c r="J16" i="1"/>
  <c r="J28" i="1"/>
  <c r="J40" i="1"/>
  <c r="J31" i="1"/>
  <c r="J8" i="1"/>
  <c r="J32" i="1"/>
  <c r="J44" i="1"/>
  <c r="J9" i="1"/>
  <c r="J21" i="1"/>
  <c r="J11" i="1"/>
  <c r="J23" i="1"/>
  <c r="J35" i="1"/>
  <c r="J12" i="1"/>
  <c r="J24" i="1"/>
  <c r="J48" i="1"/>
  <c r="J13" i="1"/>
  <c r="J49" i="1"/>
  <c r="J26" i="1"/>
  <c r="J50" i="1"/>
  <c r="J15" i="1"/>
  <c r="J27" i="1"/>
  <c r="J5" i="1"/>
  <c r="J17" i="1"/>
  <c r="J29" i="1"/>
  <c r="J41" i="1"/>
  <c r="J6" i="1"/>
  <c r="J18" i="1"/>
  <c r="J30" i="1"/>
  <c r="J42" i="1"/>
  <c r="J7" i="1"/>
  <c r="J19" i="1"/>
  <c r="J43" i="1"/>
  <c r="J20" i="1"/>
  <c r="J33" i="1"/>
  <c r="J45" i="1"/>
  <c r="N6" i="1"/>
  <c r="N7" i="1"/>
  <c r="N9" i="1"/>
  <c r="N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<sst xmlns="http://schemas.openxmlformats.org/spreadsheetml/2006/main" count="66" uniqueCount="63">
  <si>
    <t>H0</t>
  </si>
  <si>
    <t>H1</t>
  </si>
  <si>
    <t>TS with No Trend</t>
  </si>
  <si>
    <t>Ts with Trend</t>
  </si>
  <si>
    <t>V</t>
  </si>
  <si>
    <t>M v</t>
  </si>
  <si>
    <t>n</t>
  </si>
  <si>
    <t>sigma v</t>
  </si>
  <si>
    <t>z</t>
  </si>
  <si>
    <t>+Z0.025</t>
  </si>
  <si>
    <t>-Z0.025</t>
  </si>
  <si>
    <t>y</t>
  </si>
  <si>
    <t>t</t>
  </si>
  <si>
    <t>year</t>
  </si>
  <si>
    <t>x'x</t>
  </si>
  <si>
    <t>(x'x)^-1</t>
  </si>
  <si>
    <t>x'y</t>
  </si>
  <si>
    <t>Bhat</t>
  </si>
  <si>
    <t>y-yhat</t>
  </si>
  <si>
    <t>yhat</t>
  </si>
  <si>
    <t>(ไม่มี trend ไม่มี seasonal เลยมีตัวเดียว)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</si>
  <si>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</si>
  <si>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</si>
  <si>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</si>
  <si>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</si>
  <si>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</si>
  <si>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</si>
  <si>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</si>
  <si>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</si>
  <si>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</si>
  <si>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</si>
  <si>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</si>
  <si>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</si>
  <si>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</si>
  <si>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</si>
  <si>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</si>
  <si>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</si>
  <si>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</si>
  <si>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</si>
  <si>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</si>
  <si>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</si>
  <si>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</si>
  <si>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</si>
  <si>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</si>
  <si>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</si>
  <si>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</si>
  <si>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</si>
  <si>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</si>
  <si>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</si>
  <si>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sign</t>
  </si>
  <si>
    <t>t'</t>
  </si>
  <si>
    <t>t'^2</t>
  </si>
  <si>
    <t>t'y</t>
  </si>
  <si>
    <t>sum</t>
  </si>
  <si>
    <t>TS with No Seasonal</t>
  </si>
  <si>
    <t>Ts with Seasonal</t>
  </si>
  <si>
    <t>sign test</t>
  </si>
  <si>
    <t>kruskal</t>
  </si>
  <si>
    <t>That</t>
  </si>
  <si>
    <t>b1</t>
  </si>
  <si>
    <t>b0</t>
  </si>
  <si>
    <t>y/that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</si>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</sst>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0845-3142-45D0-805F-83C643E285A5}">
  <dimension ref="A1:BN81"/>
  <sheetViews>
    <sheetView tabSelected="1" workbookViewId="0">
      <selection activeCell="K3" sqref="K3"/>
    </sheetView>
  </sheetViews>
  <sheetFormatPr defaultRowHeight="14.5" x14ac:dyDescent="0.35"/>
  <cols>
    <col min="1" max="1" width="4.4140625" style="1" bestFit="1" customWidth="1"/>
    <col min="2" max="2" width="2.58203125" style="1" bestFit="1" customWidth="1"/>
    <col min="3" max="3" width="10.83203125" style="1" bestFit="1" customWidth="1"/>
    <col min="4" max="9" width="5.83203125" style="1" customWidth="1"/>
    <col min="10" max="10" width="11.4140625" style="1" bestFit="1" customWidth="1"/>
    <col min="11" max="11" width="11.4140625" style="1" customWidth="1"/>
    <col min="12" max="12" width="8.6640625" style="1"/>
    <col min="13" max="13" width="6.6640625" style="1" bestFit="1" customWidth="1"/>
    <col min="14" max="14" width="15.5" style="1" bestFit="1" customWidth="1"/>
    <col min="15" max="15" width="8.6640625" style="1"/>
    <col min="16" max="17" width="6.25" style="1" customWidth="1"/>
    <col min="18" max="18" width="4.9140625" style="1" customWidth="1"/>
    <col min="19" max="19" width="17.1640625" style="1" bestFit="1" customWidth="1"/>
    <col min="20" max="20" width="11.75" style="1" bestFit="1" customWidth="1"/>
    <col min="21" max="21" width="30.5" style="1" bestFit="1" customWidth="1"/>
    <col min="22" max="22" width="11.75" style="1" bestFit="1" customWidth="1"/>
    <col min="23" max="23" width="11.9140625" style="1" bestFit="1" customWidth="1"/>
    <col min="24" max="24" width="12.33203125" style="1" bestFit="1" customWidth="1"/>
    <col min="25" max="25" width="11.75" style="1" bestFit="1" customWidth="1"/>
    <col min="26" max="26" width="11.58203125" style="1" bestFit="1" customWidth="1"/>
    <col min="27" max="27" width="11.75" style="1" bestFit="1" customWidth="1"/>
    <col min="28" max="66" width="1.6640625" style="1" bestFit="1" customWidth="1"/>
    <col min="67" max="16384" width="8.6640625" style="1"/>
  </cols>
  <sheetData>
    <row r="1" spans="1:66" x14ac:dyDescent="0.35">
      <c r="A1" s="1" t="s">
        <v>13</v>
      </c>
      <c r="B1" s="2" t="s">
        <v>12</v>
      </c>
      <c r="C1" s="2" t="s">
        <v>11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58</v>
      </c>
      <c r="I1" s="1" t="s">
        <v>61</v>
      </c>
      <c r="J1" s="1" t="s">
        <v>18</v>
      </c>
      <c r="K1" s="1" t="s">
        <v>62</v>
      </c>
      <c r="M1" s="1" t="s">
        <v>56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</row>
    <row r="2" spans="1:66" x14ac:dyDescent="0.35">
      <c r="A2" s="1">
        <v>1965</v>
      </c>
      <c r="B2" s="2">
        <v>1</v>
      </c>
      <c r="C2" s="2">
        <v>111.0091346</v>
      </c>
      <c r="E2" s="1">
        <v>-49</v>
      </c>
      <c r="F2" s="1">
        <f>E2^2</f>
        <v>2401</v>
      </c>
      <c r="G2" s="1">
        <f>E2*C2</f>
        <v>-5439.4475954</v>
      </c>
      <c r="H2" s="1">
        <f>($N$19+($N$18*B2))</f>
        <v>382.31261794471607</v>
      </c>
      <c r="I2" s="1">
        <f>C2/H2</f>
        <v>0.29036220461876661</v>
      </c>
      <c r="J2" s="1">
        <f>C2-$T$7</f>
        <v>-268.9754126795919</v>
      </c>
      <c r="K2" s="1">
        <v>1</v>
      </c>
      <c r="M2" s="1" t="s">
        <v>0</v>
      </c>
      <c r="N2" s="1" t="s">
        <v>2</v>
      </c>
      <c r="P2" s="2">
        <v>1</v>
      </c>
      <c r="Q2" s="1">
        <v>1</v>
      </c>
    </row>
    <row r="3" spans="1:66" x14ac:dyDescent="0.35">
      <c r="A3" s="1">
        <v>1966</v>
      </c>
      <c r="B3" s="2">
        <v>2</v>
      </c>
      <c r="C3" s="2">
        <v>130.82843410000001</v>
      </c>
      <c r="D3" s="1">
        <f>IF(C3&gt;C2,1,0)</f>
        <v>1</v>
      </c>
      <c r="E3" s="1">
        <v>-47</v>
      </c>
      <c r="F3" s="1">
        <f>E3^2</f>
        <v>2209</v>
      </c>
      <c r="G3" s="1">
        <f>E3*C3</f>
        <v>-6148.9364027000001</v>
      </c>
      <c r="H3" s="1">
        <f>($N$19+($N$18*B3))</f>
        <v>384.64068860984025</v>
      </c>
      <c r="I3" s="1">
        <f>C3/H3</f>
        <v>0.34013155127409217</v>
      </c>
      <c r="J3" s="1">
        <f>C3-$T$7</f>
        <v>-249.15611317959187</v>
      </c>
      <c r="K3" s="1">
        <v>2</v>
      </c>
      <c r="M3" s="1" t="s">
        <v>1</v>
      </c>
      <c r="N3" s="1" t="s">
        <v>3</v>
      </c>
      <c r="P3" s="2">
        <v>2</v>
      </c>
      <c r="Q3" s="1">
        <v>1</v>
      </c>
      <c r="S3" s="1" t="s">
        <v>14</v>
      </c>
      <c r="T3" s="1" cm="1">
        <f t="array" ref="T3">MMULT(R1:BN1,Q2:Q50)</f>
        <v>49</v>
      </c>
    </row>
    <row r="4" spans="1:66" x14ac:dyDescent="0.35">
      <c r="A4" s="1">
        <v>1967</v>
      </c>
      <c r="B4" s="2">
        <v>3</v>
      </c>
      <c r="C4" s="2">
        <v>141.28708789999999</v>
      </c>
      <c r="D4" s="1">
        <f>IF(C4&gt;C3,1,0)</f>
        <v>1</v>
      </c>
      <c r="E4" s="1">
        <v>-45</v>
      </c>
      <c r="F4" s="1">
        <f>E4^2</f>
        <v>2025</v>
      </c>
      <c r="G4" s="1">
        <f>E4*C4</f>
        <v>-6357.9189554999994</v>
      </c>
      <c r="H4" s="1">
        <f>($N$19+($N$18*B4))</f>
        <v>386.96875927496444</v>
      </c>
      <c r="I4" s="1">
        <f>C4/H4</f>
        <v>0.36511238830938048</v>
      </c>
      <c r="J4" s="1">
        <f>C4-$T$7</f>
        <v>-238.69745937959189</v>
      </c>
      <c r="K4" s="1">
        <v>3</v>
      </c>
      <c r="N4" s="1" t="str">
        <f>IF(OR(N9&gt;N10,N9&lt;N11),"Reject H0", "Accept H0")</f>
        <v>Accept H0</v>
      </c>
      <c r="P4" s="2">
        <v>3</v>
      </c>
      <c r="Q4" s="1">
        <v>1</v>
      </c>
      <c r="S4" s="1" t="s">
        <v>15</v>
      </c>
      <c r="T4" s="1" cm="1">
        <f t="array" ref="T4">MINVERSE(T3)</f>
        <v>2.0408163265306121E-2</v>
      </c>
    </row>
    <row r="5" spans="1:66" x14ac:dyDescent="0.35">
      <c r="A5" s="1">
        <v>1968</v>
      </c>
      <c r="B5" s="2">
        <v>4</v>
      </c>
      <c r="C5" s="2">
        <v>154.2277747</v>
      </c>
      <c r="D5" s="1">
        <f>IF(C5&gt;C4,1,0)</f>
        <v>1</v>
      </c>
      <c r="E5" s="1">
        <v>-43</v>
      </c>
      <c r="F5" s="1">
        <f>E5^2</f>
        <v>1849</v>
      </c>
      <c r="G5" s="1">
        <f>E5*C5</f>
        <v>-6631.7943120999998</v>
      </c>
      <c r="H5" s="1">
        <f>($N$19+($N$18*B5))</f>
        <v>389.29682994008863</v>
      </c>
      <c r="I5" s="1">
        <f>C5/H5</f>
        <v>0.39617012736460017</v>
      </c>
      <c r="J5" s="1">
        <f>C5-$T$7</f>
        <v>-225.75677257959188</v>
      </c>
      <c r="K5" s="1">
        <v>4</v>
      </c>
      <c r="M5" s="1" t="s">
        <v>6</v>
      </c>
      <c r="N5" s="1">
        <f>COUNT(B2:B50)</f>
        <v>49</v>
      </c>
      <c r="P5" s="2">
        <v>4</v>
      </c>
      <c r="Q5" s="1">
        <v>1</v>
      </c>
      <c r="S5" s="1" t="s">
        <v>16</v>
      </c>
      <c r="T5" s="1" cm="1">
        <f t="array" ref="T5">MMULT(R1:BN1,C2:C50)</f>
        <v>18619.242816700003</v>
      </c>
    </row>
    <row r="6" spans="1:66" x14ac:dyDescent="0.35">
      <c r="A6" s="1">
        <v>1969</v>
      </c>
      <c r="B6" s="2">
        <v>5</v>
      </c>
      <c r="C6" s="2">
        <v>162.74086539999999</v>
      </c>
      <c r="D6" s="1">
        <f>IF(C6&gt;C5,1,0)</f>
        <v>1</v>
      </c>
      <c r="E6" s="1">
        <v>-41</v>
      </c>
      <c r="F6" s="1">
        <f>E6^2</f>
        <v>1681</v>
      </c>
      <c r="G6" s="1">
        <f>E6*C6</f>
        <v>-6672.3754813999994</v>
      </c>
      <c r="H6" s="1">
        <f>($N$19+($N$18*B6))</f>
        <v>391.62490060521282</v>
      </c>
      <c r="I6" s="1">
        <f>C6/H6</f>
        <v>0.41555290572305809</v>
      </c>
      <c r="J6" s="1">
        <f>C6-$T$7</f>
        <v>-217.24368187959189</v>
      </c>
      <c r="K6" s="1">
        <v>6</v>
      </c>
      <c r="M6" s="1" t="s">
        <v>4</v>
      </c>
      <c r="N6" s="1">
        <f>SUM(D2:D50)</f>
        <v>30</v>
      </c>
      <c r="P6" s="2">
        <v>5</v>
      </c>
      <c r="Q6" s="1">
        <v>1</v>
      </c>
      <c r="S6" s="1" t="s">
        <v>17</v>
      </c>
      <c r="T6" s="1">
        <f>T5*T4</f>
        <v>379.98454727959188</v>
      </c>
      <c r="U6" s="1" t="s">
        <v>20</v>
      </c>
    </row>
    <row r="7" spans="1:66" x14ac:dyDescent="0.35">
      <c r="A7" s="1">
        <v>1970</v>
      </c>
      <c r="B7" s="2">
        <v>6</v>
      </c>
      <c r="C7" s="2">
        <v>192.1664835</v>
      </c>
      <c r="D7" s="1">
        <f>IF(C7&gt;C6,1,0)</f>
        <v>1</v>
      </c>
      <c r="E7" s="1">
        <v>-39</v>
      </c>
      <c r="F7" s="1">
        <f>E7^2</f>
        <v>1521</v>
      </c>
      <c r="G7" s="1">
        <f>E7*C7</f>
        <v>-7494.4928565</v>
      </c>
      <c r="H7" s="1">
        <f>($N$19+($N$18*B7))</f>
        <v>393.952971270337</v>
      </c>
      <c r="I7" s="1">
        <f>C7/H7</f>
        <v>0.48779041538979079</v>
      </c>
      <c r="J7" s="1">
        <f>C7-$T$7</f>
        <v>-187.81806377959188</v>
      </c>
      <c r="K7" s="1">
        <v>7</v>
      </c>
      <c r="M7" s="1" t="s">
        <v>5</v>
      </c>
      <c r="N7" s="1">
        <f>N5/2</f>
        <v>24.5</v>
      </c>
      <c r="P7" s="2">
        <v>6</v>
      </c>
      <c r="Q7" s="1">
        <v>1</v>
      </c>
      <c r="S7" s="1" t="s">
        <v>19</v>
      </c>
      <c r="T7" s="1">
        <f>T6</f>
        <v>379.98454727959188</v>
      </c>
    </row>
    <row r="8" spans="1:66" x14ac:dyDescent="0.35">
      <c r="A8" s="1">
        <v>1971</v>
      </c>
      <c r="B8" s="2">
        <v>7</v>
      </c>
      <c r="C8" s="2">
        <v>240.79972530000001</v>
      </c>
      <c r="D8" s="1">
        <f>IF(C8&gt;C7,1,0)</f>
        <v>1</v>
      </c>
      <c r="E8" s="1">
        <v>-37</v>
      </c>
      <c r="F8" s="1">
        <f>E8^2</f>
        <v>1369</v>
      </c>
      <c r="G8" s="1">
        <f>E8*C8</f>
        <v>-8909.5898361</v>
      </c>
      <c r="H8" s="1">
        <f>($N$19+($N$18*B8))</f>
        <v>396.28104193546119</v>
      </c>
      <c r="I8" s="1">
        <f>C8/H8</f>
        <v>0.60764886486600322</v>
      </c>
      <c r="J8" s="1">
        <f>C8-$T$7</f>
        <v>-139.18482197959187</v>
      </c>
      <c r="K8" s="1">
        <v>12</v>
      </c>
      <c r="M8" s="1" t="s">
        <v>7</v>
      </c>
      <c r="N8" s="1">
        <f>SQRT(N5/4)</f>
        <v>3.5</v>
      </c>
      <c r="P8" s="2">
        <v>7</v>
      </c>
      <c r="Q8" s="1">
        <v>1</v>
      </c>
    </row>
    <row r="9" spans="1:66" ht="16.5" x14ac:dyDescent="0.45">
      <c r="A9" s="1">
        <v>1972</v>
      </c>
      <c r="B9" s="2">
        <v>8</v>
      </c>
      <c r="C9" s="2">
        <v>304.21739009999999</v>
      </c>
      <c r="D9" s="1">
        <f>IF(C9&gt;C8,1,0)</f>
        <v>1</v>
      </c>
      <c r="E9" s="1">
        <v>-35</v>
      </c>
      <c r="F9" s="1">
        <f>E9^2</f>
        <v>1225</v>
      </c>
      <c r="G9" s="1">
        <f>E9*C9</f>
        <v>-10647.608653499999</v>
      </c>
      <c r="H9" s="1">
        <f>($N$19+($N$18*B9))</f>
        <v>398.60911260058538</v>
      </c>
      <c r="I9" s="1">
        <f>C9/H9</f>
        <v>0.76319727894638512</v>
      </c>
      <c r="J9" s="1">
        <f>C9-$T$7</f>
        <v>-75.767157179591891</v>
      </c>
      <c r="K9" s="1">
        <v>15</v>
      </c>
      <c r="M9" s="1" t="s">
        <v>8</v>
      </c>
      <c r="N9" s="1">
        <f>(N6-N7)/N8</f>
        <v>1.5714285714285714</v>
      </c>
      <c r="P9" s="2">
        <v>8</v>
      </c>
      <c r="Q9" s="1">
        <v>1</v>
      </c>
      <c r="S9" t="s">
        <v>21</v>
      </c>
      <c r="T9"/>
      <c r="U9"/>
      <c r="V9"/>
      <c r="W9"/>
      <c r="X9"/>
      <c r="Y9"/>
      <c r="Z9"/>
      <c r="AA9"/>
    </row>
    <row r="10" spans="1:66" ht="17" thickBot="1" x14ac:dyDescent="0.5">
      <c r="A10" s="1">
        <v>1973</v>
      </c>
      <c r="B10" s="2">
        <v>9</v>
      </c>
      <c r="C10" s="2">
        <v>384.00456730000002</v>
      </c>
      <c r="D10" s="1">
        <f>IF(C10&gt;C9,1,0)</f>
        <v>1</v>
      </c>
      <c r="E10" s="1">
        <v>-33</v>
      </c>
      <c r="F10" s="1">
        <f>E10^2</f>
        <v>1089</v>
      </c>
      <c r="G10" s="1">
        <f>E10*C10</f>
        <v>-12672.150720900001</v>
      </c>
      <c r="H10" s="1">
        <f>($N$19+($N$18*B10))</f>
        <v>400.93718326570956</v>
      </c>
      <c r="I10" s="1">
        <f>C10/H10</f>
        <v>0.95776740927895443</v>
      </c>
      <c r="J10" s="1">
        <f>C10-$T$7</f>
        <v>4.0200200204081398</v>
      </c>
      <c r="K10" s="1">
        <v>23</v>
      </c>
      <c r="M10" s="3" t="s">
        <v>9</v>
      </c>
      <c r="N10" s="1">
        <f>_xlfn.NORM.INV(0.975,0,1)</f>
        <v>1.9599639845400536</v>
      </c>
      <c r="P10" s="2">
        <v>9</v>
      </c>
      <c r="Q10" s="1">
        <v>1</v>
      </c>
      <c r="S10"/>
      <c r="T10"/>
      <c r="U10"/>
      <c r="V10"/>
      <c r="W10"/>
      <c r="X10"/>
      <c r="Y10"/>
      <c r="Z10"/>
      <c r="AA10"/>
    </row>
    <row r="11" spans="1:66" ht="16.5" x14ac:dyDescent="0.45">
      <c r="A11" s="1">
        <v>1974</v>
      </c>
      <c r="B11" s="2">
        <v>10</v>
      </c>
      <c r="C11" s="2">
        <v>429.6621566</v>
      </c>
      <c r="D11" s="1">
        <f>IF(C11&gt;C10,1,0)</f>
        <v>1</v>
      </c>
      <c r="E11" s="1">
        <v>-31</v>
      </c>
      <c r="F11" s="1">
        <f>E11^2</f>
        <v>961</v>
      </c>
      <c r="G11" s="1">
        <f>E11*C11</f>
        <v>-13319.526854600001</v>
      </c>
      <c r="H11" s="1">
        <f>($N$19+($N$18*B11))</f>
        <v>403.26525393083381</v>
      </c>
      <c r="I11" s="1">
        <f>C11/H11</f>
        <v>1.0654579148881835</v>
      </c>
      <c r="J11" s="1">
        <f>C11-$T$7</f>
        <v>49.677609320408123</v>
      </c>
      <c r="K11" s="1">
        <v>40</v>
      </c>
      <c r="M11" s="3" t="s">
        <v>10</v>
      </c>
      <c r="N11" s="1">
        <f>_xlfn.NORM.INV(0.025,0,1)</f>
        <v>-1.9599639845400538</v>
      </c>
      <c r="P11" s="2">
        <v>10</v>
      </c>
      <c r="Q11" s="1">
        <v>1</v>
      </c>
      <c r="S11" s="7" t="s">
        <v>22</v>
      </c>
      <c r="T11" s="7"/>
      <c r="U11"/>
      <c r="V11"/>
      <c r="W11"/>
      <c r="X11"/>
      <c r="Y11"/>
      <c r="Z11"/>
      <c r="AA11"/>
    </row>
    <row r="12" spans="1:66" ht="16.5" x14ac:dyDescent="0.45">
      <c r="A12" s="1">
        <v>1975</v>
      </c>
      <c r="B12" s="2">
        <v>11</v>
      </c>
      <c r="C12" s="2">
        <v>359.31692989999999</v>
      </c>
      <c r="D12" s="1">
        <f>IF(C12&gt;C11,1,0)</f>
        <v>0</v>
      </c>
      <c r="E12" s="1">
        <v>-29</v>
      </c>
      <c r="F12" s="1">
        <f>E12^2</f>
        <v>841</v>
      </c>
      <c r="G12" s="1">
        <f>E12*C12</f>
        <v>-10420.190967099999</v>
      </c>
      <c r="H12" s="1">
        <f>($N$19+($N$18*B12))</f>
        <v>405.59332459595799</v>
      </c>
      <c r="I12" s="1">
        <f>C12/H12</f>
        <v>0.88590444691845605</v>
      </c>
      <c r="J12" s="1">
        <f>C12-$T$7</f>
        <v>-20.667617379591888</v>
      </c>
      <c r="K12" s="1">
        <v>18</v>
      </c>
      <c r="P12" s="2">
        <v>11</v>
      </c>
      <c r="Q12" s="1">
        <v>1</v>
      </c>
      <c r="S12" s="4" t="s">
        <v>23</v>
      </c>
      <c r="T12" s="4">
        <v>0.24212103041860025</v>
      </c>
      <c r="U12"/>
      <c r="V12"/>
      <c r="W12"/>
      <c r="X12"/>
      <c r="Y12"/>
      <c r="Z12"/>
      <c r="AA12"/>
    </row>
    <row r="13" spans="1:66" ht="16.5" x14ac:dyDescent="0.45">
      <c r="A13" s="1">
        <v>1976</v>
      </c>
      <c r="B13" s="2">
        <v>12</v>
      </c>
      <c r="C13" s="2">
        <v>437.25185440000001</v>
      </c>
      <c r="D13" s="1">
        <f>IF(C13&gt;C12,1,0)</f>
        <v>1</v>
      </c>
      <c r="E13" s="1">
        <v>-27</v>
      </c>
      <c r="F13" s="1">
        <f>E13^2</f>
        <v>729</v>
      </c>
      <c r="G13" s="1">
        <f>E13*C13</f>
        <v>-11805.800068800001</v>
      </c>
      <c r="H13" s="1">
        <f>($N$19+($N$18*B13))</f>
        <v>407.92139526108218</v>
      </c>
      <c r="I13" s="1">
        <f>C13/H13</f>
        <v>1.0719022328312675</v>
      </c>
      <c r="J13" s="1">
        <f>C13-$T$7</f>
        <v>57.267307120408134</v>
      </c>
      <c r="K13" s="1">
        <v>41</v>
      </c>
      <c r="P13" s="2">
        <v>12</v>
      </c>
      <c r="Q13" s="1">
        <v>1</v>
      </c>
      <c r="S13" s="4" t="s">
        <v>24</v>
      </c>
      <c r="T13" s="4">
        <v>5.8622593370964753E-2</v>
      </c>
      <c r="U13"/>
      <c r="V13"/>
      <c r="W13"/>
      <c r="X13"/>
      <c r="Y13"/>
      <c r="Z13"/>
      <c r="AA13"/>
    </row>
    <row r="14" spans="1:66" ht="16.5" x14ac:dyDescent="0.45">
      <c r="A14" s="1">
        <v>1977</v>
      </c>
      <c r="B14" s="2">
        <v>13</v>
      </c>
      <c r="C14" s="2">
        <v>468.40078979999998</v>
      </c>
      <c r="D14" s="1">
        <f>IF(C14&gt;C13,1,0)</f>
        <v>1</v>
      </c>
      <c r="E14" s="1">
        <v>-25</v>
      </c>
      <c r="F14" s="1">
        <f>E14^2</f>
        <v>625</v>
      </c>
      <c r="G14" s="1">
        <f>E14*C14</f>
        <v>-11710.019745</v>
      </c>
      <c r="H14" s="1">
        <f>($N$19+($N$18*B14))</f>
        <v>410.24946592620637</v>
      </c>
      <c r="I14" s="1">
        <f>C14/H14</f>
        <v>1.1417462512535081</v>
      </c>
      <c r="J14" s="1">
        <f>C14-$T$7</f>
        <v>88.416242520408105</v>
      </c>
      <c r="K14" s="1">
        <v>46</v>
      </c>
      <c r="M14" s="1" t="s">
        <v>57</v>
      </c>
      <c r="P14" s="2">
        <v>13</v>
      </c>
      <c r="Q14" s="1">
        <v>1</v>
      </c>
      <c r="S14" s="4" t="s">
        <v>25</v>
      </c>
      <c r="T14" s="4">
        <v>3.8593286846942722E-2</v>
      </c>
      <c r="U14"/>
      <c r="V14"/>
      <c r="W14"/>
      <c r="X14"/>
      <c r="Y14"/>
      <c r="Z14"/>
      <c r="AA14"/>
    </row>
    <row r="15" spans="1:66" ht="16.5" x14ac:dyDescent="0.45">
      <c r="A15" s="1">
        <v>1978</v>
      </c>
      <c r="B15" s="2">
        <v>14</v>
      </c>
      <c r="C15" s="2">
        <v>424.43533650000001</v>
      </c>
      <c r="D15" s="1">
        <f>IF(C15&gt;C14,1,0)</f>
        <v>0</v>
      </c>
      <c r="E15" s="1">
        <v>-23</v>
      </c>
      <c r="F15" s="1">
        <f>E15^2</f>
        <v>529</v>
      </c>
      <c r="G15" s="1">
        <f>E15*C15</f>
        <v>-9762.0127395</v>
      </c>
      <c r="H15" s="1">
        <f>($N$19+($N$18*B15))</f>
        <v>412.57753659133056</v>
      </c>
      <c r="I15" s="1">
        <f>C15/H15</f>
        <v>1.0287407792645167</v>
      </c>
      <c r="J15" s="1">
        <f>C15-$T$7</f>
        <v>44.450789220408126</v>
      </c>
      <c r="K15" s="1">
        <v>35</v>
      </c>
      <c r="M15" s="1" t="s">
        <v>0</v>
      </c>
      <c r="N15" s="1" t="s">
        <v>54</v>
      </c>
      <c r="P15" s="2">
        <v>14</v>
      </c>
      <c r="Q15" s="1">
        <v>1</v>
      </c>
      <c r="S15" s="4" t="s">
        <v>26</v>
      </c>
      <c r="T15" s="4">
        <v>125.98435237219023</v>
      </c>
      <c r="U15"/>
      <c r="V15"/>
      <c r="W15"/>
      <c r="X15"/>
      <c r="Y15"/>
      <c r="Z15"/>
      <c r="AA15"/>
    </row>
    <row r="16" spans="1:66" ht="17" thickBot="1" x14ac:dyDescent="0.5">
      <c r="A16" s="1">
        <v>1979</v>
      </c>
      <c r="B16" s="2">
        <v>15</v>
      </c>
      <c r="C16" s="2">
        <v>487.97942990000001</v>
      </c>
      <c r="D16" s="1">
        <f>IF(C16&gt;C15,1,0)</f>
        <v>1</v>
      </c>
      <c r="E16" s="1">
        <v>-21</v>
      </c>
      <c r="F16" s="1">
        <f>E16^2</f>
        <v>441</v>
      </c>
      <c r="G16" s="1">
        <f>E16*C16</f>
        <v>-10247.568027900001</v>
      </c>
      <c r="H16" s="1">
        <f>($N$19+($N$18*B16))</f>
        <v>414.90560725645474</v>
      </c>
      <c r="I16" s="1">
        <f>C16/H16</f>
        <v>1.1761215596162768</v>
      </c>
      <c r="J16" s="1">
        <f>C16-$T$7</f>
        <v>107.99488262040813</v>
      </c>
      <c r="K16" s="1">
        <v>47</v>
      </c>
      <c r="M16" s="1" t="s">
        <v>1</v>
      </c>
      <c r="N16" s="1" t="s">
        <v>55</v>
      </c>
      <c r="P16" s="2">
        <v>15</v>
      </c>
      <c r="Q16" s="1">
        <v>1</v>
      </c>
      <c r="S16" s="5" t="s">
        <v>27</v>
      </c>
      <c r="T16" s="5">
        <v>49</v>
      </c>
      <c r="U16"/>
      <c r="V16"/>
      <c r="W16"/>
      <c r="X16"/>
      <c r="Y16"/>
      <c r="Z16"/>
      <c r="AA16"/>
    </row>
    <row r="17" spans="1:27" ht="16.5" x14ac:dyDescent="0.45">
      <c r="A17" s="1">
        <v>1980</v>
      </c>
      <c r="B17" s="2">
        <v>16</v>
      </c>
      <c r="C17" s="2">
        <v>509.82844779999999</v>
      </c>
      <c r="D17" s="1">
        <f>IF(C17&gt;C16,1,0)</f>
        <v>1</v>
      </c>
      <c r="E17" s="1">
        <v>-19</v>
      </c>
      <c r="F17" s="1">
        <f>E17^2</f>
        <v>361</v>
      </c>
      <c r="G17" s="1">
        <f>E17*C17</f>
        <v>-9686.7405082000005</v>
      </c>
      <c r="H17" s="1">
        <f>($N$19+($N$18*B17))</f>
        <v>417.23367792157893</v>
      </c>
      <c r="I17" s="1">
        <f>C17/H17</f>
        <v>1.2219254455672792</v>
      </c>
      <c r="J17" s="1">
        <f>C17-$T$7</f>
        <v>129.84390052040811</v>
      </c>
      <c r="K17" s="1">
        <v>49</v>
      </c>
      <c r="P17" s="2">
        <v>16</v>
      </c>
      <c r="Q17" s="1">
        <v>1</v>
      </c>
      <c r="S17"/>
      <c r="T17"/>
      <c r="U17"/>
      <c r="V17"/>
      <c r="W17"/>
      <c r="X17"/>
      <c r="Y17"/>
      <c r="Z17"/>
      <c r="AA17"/>
    </row>
    <row r="18" spans="1:27" ht="17" thickBot="1" x14ac:dyDescent="0.5">
      <c r="A18" s="1">
        <v>1981</v>
      </c>
      <c r="B18" s="2">
        <v>17</v>
      </c>
      <c r="C18" s="2">
        <v>506.34725270000001</v>
      </c>
      <c r="D18" s="1">
        <f>IF(C18&gt;C17,1,0)</f>
        <v>0</v>
      </c>
      <c r="E18" s="1">
        <v>-17</v>
      </c>
      <c r="F18" s="1">
        <f>E18^2</f>
        <v>289</v>
      </c>
      <c r="G18" s="1">
        <f>E18*C18</f>
        <v>-8607.9032958999996</v>
      </c>
      <c r="H18" s="1">
        <f>($N$19+($N$18*B18))</f>
        <v>419.56174858670312</v>
      </c>
      <c r="I18" s="1">
        <f>C18/H18</f>
        <v>1.206847989373756</v>
      </c>
      <c r="J18" s="1">
        <f>C18-$T$7</f>
        <v>126.36270542040813</v>
      </c>
      <c r="K18" s="1">
        <v>48</v>
      </c>
      <c r="M18" s="1" t="s">
        <v>59</v>
      </c>
      <c r="N18" s="1">
        <f>G51/F51</f>
        <v>2.3280706651241903</v>
      </c>
      <c r="P18" s="2">
        <v>17</v>
      </c>
      <c r="Q18" s="1">
        <v>1</v>
      </c>
      <c r="S18" t="s">
        <v>28</v>
      </c>
      <c r="T18"/>
      <c r="U18"/>
      <c r="V18"/>
      <c r="W18"/>
      <c r="X18"/>
      <c r="Y18"/>
      <c r="Z18"/>
      <c r="AA18"/>
    </row>
    <row r="19" spans="1:27" ht="16.5" x14ac:dyDescent="0.45">
      <c r="A19" s="1">
        <v>1982</v>
      </c>
      <c r="B19" s="2">
        <v>18</v>
      </c>
      <c r="C19" s="2">
        <v>340.18423739999997</v>
      </c>
      <c r="D19" s="1">
        <f>IF(C19&gt;C18,1,0)</f>
        <v>0</v>
      </c>
      <c r="E19" s="1">
        <v>-15</v>
      </c>
      <c r="F19" s="1">
        <f>E19^2</f>
        <v>225</v>
      </c>
      <c r="G19" s="1">
        <f>E19*C19</f>
        <v>-5102.7635609999998</v>
      </c>
      <c r="H19" s="1">
        <f>($N$19+($N$18*B19))</f>
        <v>421.8898192518273</v>
      </c>
      <c r="I19" s="1">
        <f>C19/H19</f>
        <v>0.80633431260151589</v>
      </c>
      <c r="J19" s="1">
        <f>C19-$T$7</f>
        <v>-39.800309879591907</v>
      </c>
      <c r="K19" s="1">
        <v>17</v>
      </c>
      <c r="M19" s="1" t="s">
        <v>60</v>
      </c>
      <c r="N19" s="1">
        <f>AVERAGE(C2:C50)</f>
        <v>379.98454727959188</v>
      </c>
      <c r="P19" s="2">
        <v>18</v>
      </c>
      <c r="Q19" s="1">
        <v>1</v>
      </c>
      <c r="S19" s="6"/>
      <c r="T19" s="6" t="s">
        <v>33</v>
      </c>
      <c r="U19" s="6" t="s">
        <v>34</v>
      </c>
      <c r="V19" s="6" t="s">
        <v>35</v>
      </c>
      <c r="W19" s="6" t="s">
        <v>36</v>
      </c>
      <c r="X19" s="6" t="s">
        <v>37</v>
      </c>
      <c r="Y19"/>
      <c r="Z19"/>
      <c r="AA19"/>
    </row>
    <row r="20" spans="1:27" ht="16.5" x14ac:dyDescent="0.45">
      <c r="A20" s="1">
        <v>1983</v>
      </c>
      <c r="B20" s="2">
        <v>19</v>
      </c>
      <c r="C20" s="2">
        <v>240.25892099999999</v>
      </c>
      <c r="D20" s="1">
        <f>IF(C20&gt;C19,1,0)</f>
        <v>0</v>
      </c>
      <c r="E20" s="1">
        <v>-13</v>
      </c>
      <c r="F20" s="1">
        <f>E20^2</f>
        <v>169</v>
      </c>
      <c r="G20" s="1">
        <f>E20*C20</f>
        <v>-3123.3659729999999</v>
      </c>
      <c r="H20" s="1">
        <f>($N$19+($N$18*B20))</f>
        <v>424.21788991695149</v>
      </c>
      <c r="I20" s="1">
        <f>C20/H20</f>
        <v>0.5663573524611023</v>
      </c>
      <c r="J20" s="1">
        <f>C20-$T$7</f>
        <v>-139.72562627959189</v>
      </c>
      <c r="K20" s="1">
        <v>10</v>
      </c>
      <c r="P20" s="2">
        <v>19</v>
      </c>
      <c r="Q20" s="1">
        <v>1</v>
      </c>
      <c r="S20" s="4" t="s">
        <v>29</v>
      </c>
      <c r="T20" s="4">
        <v>1</v>
      </c>
      <c r="U20" s="4">
        <v>46454.985591014381</v>
      </c>
      <c r="V20" s="4">
        <v>46454.985591014381</v>
      </c>
      <c r="W20" s="4">
        <v>2.9268408919028777</v>
      </c>
      <c r="X20" s="4">
        <v>9.3711500786929039E-2</v>
      </c>
      <c r="Y20"/>
      <c r="Z20"/>
      <c r="AA20"/>
    </row>
    <row r="21" spans="1:27" ht="16.5" x14ac:dyDescent="0.45">
      <c r="A21" s="1">
        <v>1984</v>
      </c>
      <c r="B21" s="2">
        <v>20</v>
      </c>
      <c r="C21" s="2">
        <v>219.03278760000001</v>
      </c>
      <c r="D21" s="1">
        <f>IF(C21&gt;C20,1,0)</f>
        <v>0</v>
      </c>
      <c r="E21" s="1">
        <v>-11</v>
      </c>
      <c r="F21" s="1">
        <f>E21^2</f>
        <v>121</v>
      </c>
      <c r="G21" s="1">
        <f>E21*C21</f>
        <v>-2409.3606636</v>
      </c>
      <c r="H21" s="1">
        <f>($N$19+($N$18*B21))</f>
        <v>426.54596058207568</v>
      </c>
      <c r="I21" s="1">
        <f>C21/H21</f>
        <v>0.51350336854931689</v>
      </c>
      <c r="J21" s="1">
        <f>C21-$T$7</f>
        <v>-160.95175967959187</v>
      </c>
      <c r="K21" s="1">
        <v>9</v>
      </c>
      <c r="P21" s="2">
        <v>20</v>
      </c>
      <c r="Q21" s="1">
        <v>1</v>
      </c>
      <c r="S21" s="4" t="s">
        <v>30</v>
      </c>
      <c r="T21" s="4">
        <v>47</v>
      </c>
      <c r="U21" s="4">
        <v>745986.68100408919</v>
      </c>
      <c r="V21" s="4">
        <v>15872.057042640196</v>
      </c>
      <c r="W21" s="4"/>
      <c r="X21" s="4"/>
      <c r="Y21"/>
      <c r="Z21"/>
      <c r="AA21"/>
    </row>
    <row r="22" spans="1:27" ht="17" thickBot="1" x14ac:dyDescent="0.5">
      <c r="A22" s="1">
        <v>1985</v>
      </c>
      <c r="B22" s="2">
        <v>21</v>
      </c>
      <c r="C22" s="2">
        <v>172.0746632</v>
      </c>
      <c r="D22" s="1">
        <f>IF(C22&gt;C21,1,0)</f>
        <v>0</v>
      </c>
      <c r="E22" s="1">
        <v>-9</v>
      </c>
      <c r="F22" s="1">
        <f>E22^2</f>
        <v>81</v>
      </c>
      <c r="G22" s="1">
        <f>E22*C22</f>
        <v>-1548.6719688000001</v>
      </c>
      <c r="H22" s="1">
        <f>($N$19+($N$18*B22))</f>
        <v>428.87403124719987</v>
      </c>
      <c r="I22" s="1">
        <f>C22/H22</f>
        <v>0.40122425389010652</v>
      </c>
      <c r="J22" s="1">
        <f>C22-$T$7</f>
        <v>-207.90988407959188</v>
      </c>
      <c r="K22" s="1">
        <v>5</v>
      </c>
      <c r="P22" s="2">
        <v>21</v>
      </c>
      <c r="Q22" s="1">
        <v>1</v>
      </c>
      <c r="S22" s="5" t="s">
        <v>31</v>
      </c>
      <c r="T22" s="5">
        <v>48</v>
      </c>
      <c r="U22" s="5">
        <v>792441.66659510357</v>
      </c>
      <c r="V22" s="5"/>
      <c r="W22" s="5"/>
      <c r="X22" s="5"/>
      <c r="Y22"/>
      <c r="Z22"/>
      <c r="AA22"/>
    </row>
    <row r="23" spans="1:27" ht="17" thickBot="1" x14ac:dyDescent="0.5">
      <c r="A23" s="1">
        <v>1986</v>
      </c>
      <c r="B23" s="2">
        <v>22</v>
      </c>
      <c r="C23" s="2">
        <v>252.59009219999999</v>
      </c>
      <c r="D23" s="1">
        <f>IF(C23&gt;C22,1,0)</f>
        <v>1</v>
      </c>
      <c r="E23" s="1">
        <v>-7</v>
      </c>
      <c r="F23" s="1">
        <f>E23^2</f>
        <v>49</v>
      </c>
      <c r="G23" s="1">
        <f>E23*C23</f>
        <v>-1768.1306453999998</v>
      </c>
      <c r="H23" s="1">
        <f>($N$19+($N$18*B23))</f>
        <v>431.20210191232405</v>
      </c>
      <c r="I23" s="1">
        <f>C23/H23</f>
        <v>0.58578121739155831</v>
      </c>
      <c r="J23" s="1">
        <f>C23-$T$7</f>
        <v>-127.39445507959189</v>
      </c>
      <c r="K23" s="1">
        <v>11</v>
      </c>
      <c r="P23" s="2">
        <v>22</v>
      </c>
      <c r="Q23" s="1">
        <v>1</v>
      </c>
      <c r="S23"/>
      <c r="T23"/>
      <c r="U23"/>
      <c r="V23"/>
      <c r="W23"/>
      <c r="X23"/>
      <c r="Y23"/>
      <c r="Z23"/>
      <c r="AA23"/>
    </row>
    <row r="24" spans="1:27" ht="16.5" x14ac:dyDescent="0.45">
      <c r="A24" s="1">
        <v>1987</v>
      </c>
      <c r="B24" s="2">
        <v>23</v>
      </c>
      <c r="C24" s="2">
        <v>221.07107740000001</v>
      </c>
      <c r="D24" s="1">
        <f>IF(C24&gt;C23,1,0)</f>
        <v>0</v>
      </c>
      <c r="E24" s="1">
        <v>-5</v>
      </c>
      <c r="F24" s="1">
        <f>E24^2</f>
        <v>25</v>
      </c>
      <c r="G24" s="1">
        <f>E24*C24</f>
        <v>-1105.3553870000001</v>
      </c>
      <c r="H24" s="1">
        <f>($N$19+($N$18*B24))</f>
        <v>433.53017257744824</v>
      </c>
      <c r="I24" s="1">
        <f>C24/H24</f>
        <v>0.50993239083147468</v>
      </c>
      <c r="J24" s="1">
        <f>C24-$T$7</f>
        <v>-158.91346987959187</v>
      </c>
      <c r="K24" s="1">
        <v>8</v>
      </c>
      <c r="P24" s="2">
        <v>23</v>
      </c>
      <c r="Q24" s="1">
        <v>1</v>
      </c>
      <c r="S24" s="6"/>
      <c r="T24" s="6" t="s">
        <v>38</v>
      </c>
      <c r="U24" s="6" t="s">
        <v>26</v>
      </c>
      <c r="V24" s="6" t="s">
        <v>39</v>
      </c>
      <c r="W24" s="6" t="s">
        <v>40</v>
      </c>
      <c r="X24" s="6" t="s">
        <v>41</v>
      </c>
      <c r="Y24" s="6" t="s">
        <v>42</v>
      </c>
      <c r="Z24" s="6" t="s">
        <v>43</v>
      </c>
      <c r="AA24" s="6" t="s">
        <v>44</v>
      </c>
    </row>
    <row r="25" spans="1:27" ht="16.5" x14ac:dyDescent="0.45">
      <c r="A25" s="1">
        <v>1988</v>
      </c>
      <c r="B25" s="2">
        <v>24</v>
      </c>
      <c r="C25" s="2">
        <v>276.51877350000001</v>
      </c>
      <c r="D25" s="1">
        <f>IF(C25&gt;C24,1,0)</f>
        <v>1</v>
      </c>
      <c r="E25" s="1">
        <v>-3</v>
      </c>
      <c r="F25" s="1">
        <f>E25^2</f>
        <v>9</v>
      </c>
      <c r="G25" s="1">
        <f>E25*C25</f>
        <v>-829.55632050000008</v>
      </c>
      <c r="H25" s="1">
        <f>($N$19+($N$18*B25))</f>
        <v>435.85824324257243</v>
      </c>
      <c r="I25" s="1">
        <f>C25/H25</f>
        <v>0.63442364068380441</v>
      </c>
      <c r="J25" s="1">
        <f>C25-$T$7</f>
        <v>-103.46577377959187</v>
      </c>
      <c r="K25" s="1">
        <v>14</v>
      </c>
      <c r="P25" s="2">
        <v>24</v>
      </c>
      <c r="Q25" s="1">
        <v>1</v>
      </c>
      <c r="S25" s="4" t="s">
        <v>32</v>
      </c>
      <c r="T25" s="4">
        <v>379.98454727959188</v>
      </c>
      <c r="U25" s="4">
        <v>17.997764624598606</v>
      </c>
      <c r="V25" s="4">
        <v>21.112874582226983</v>
      </c>
      <c r="W25" s="4">
        <v>1.2645056644263556E-25</v>
      </c>
      <c r="X25" s="4">
        <v>343.77771502771446</v>
      </c>
      <c r="Y25" s="4">
        <v>416.19137953146929</v>
      </c>
      <c r="Z25" s="4">
        <v>343.77771502771452</v>
      </c>
      <c r="AA25" s="4">
        <v>416.19137953146924</v>
      </c>
    </row>
    <row r="26" spans="1:27" ht="17" thickBot="1" x14ac:dyDescent="0.5">
      <c r="A26" s="1">
        <v>1989</v>
      </c>
      <c r="B26" s="2">
        <v>25</v>
      </c>
      <c r="C26" s="2">
        <v>271.14795170000002</v>
      </c>
      <c r="D26" s="1">
        <f>IF(C26&gt;C25,1,0)</f>
        <v>0</v>
      </c>
      <c r="E26" s="1">
        <v>-1</v>
      </c>
      <c r="F26" s="1">
        <f>E26^2</f>
        <v>1</v>
      </c>
      <c r="G26" s="1">
        <f>E26*C26</f>
        <v>-271.14795170000002</v>
      </c>
      <c r="H26" s="1">
        <f>($N$19+($N$18*B26))</f>
        <v>438.18631390769661</v>
      </c>
      <c r="I26" s="1">
        <f>C26/H26</f>
        <v>0.6187960305787118</v>
      </c>
      <c r="J26" s="1">
        <f>C26-$T$7</f>
        <v>-108.83659557959186</v>
      </c>
      <c r="K26" s="1">
        <v>13</v>
      </c>
      <c r="P26" s="2">
        <v>25</v>
      </c>
      <c r="Q26" s="1">
        <v>1</v>
      </c>
      <c r="S26" s="5"/>
      <c r="T26" s="5">
        <v>0</v>
      </c>
      <c r="U26" s="5">
        <v>0</v>
      </c>
      <c r="V26" s="5">
        <v>65535</v>
      </c>
      <c r="W26" s="5" t="e">
        <v>#NUM!</v>
      </c>
      <c r="X26" s="5">
        <v>0</v>
      </c>
      <c r="Y26" s="5">
        <v>0</v>
      </c>
      <c r="Z26" s="5">
        <v>0</v>
      </c>
      <c r="AA26" s="5">
        <v>0</v>
      </c>
    </row>
    <row r="27" spans="1:27" ht="16.5" x14ac:dyDescent="0.45">
      <c r="A27" s="1">
        <v>1990</v>
      </c>
      <c r="B27" s="2">
        <v>26</v>
      </c>
      <c r="C27" s="2">
        <v>342.61860050000001</v>
      </c>
      <c r="D27" s="1">
        <f>IF(C27&gt;C26,1,0)</f>
        <v>1</v>
      </c>
      <c r="E27" s="1">
        <v>0</v>
      </c>
      <c r="F27" s="1">
        <f>E27^2</f>
        <v>0</v>
      </c>
      <c r="G27" s="1">
        <f>E27*C27</f>
        <v>0</v>
      </c>
      <c r="H27" s="1">
        <f>($N$19+($N$18*B27))</f>
        <v>440.5143845728208</v>
      </c>
      <c r="I27" s="1">
        <f>C27/H27</f>
        <v>0.777769381656508</v>
      </c>
      <c r="J27" s="1">
        <f>C27-$T$7</f>
        <v>-37.365946779591866</v>
      </c>
      <c r="K27" s="1">
        <v>16</v>
      </c>
      <c r="P27" s="2">
        <v>26</v>
      </c>
      <c r="Q27" s="1">
        <v>1</v>
      </c>
      <c r="S27"/>
      <c r="T27"/>
      <c r="U27"/>
      <c r="V27"/>
      <c r="W27"/>
      <c r="X27"/>
      <c r="Y27"/>
      <c r="Z27"/>
      <c r="AA27"/>
    </row>
    <row r="28" spans="1:27" ht="16.5" x14ac:dyDescent="0.45">
      <c r="A28" s="1">
        <v>1991</v>
      </c>
      <c r="B28" s="2">
        <v>27</v>
      </c>
      <c r="C28" s="2">
        <v>428.3558357</v>
      </c>
      <c r="D28" s="1">
        <f>IF(C28&gt;C27,1,0)</f>
        <v>1</v>
      </c>
      <c r="E28" s="1">
        <v>1</v>
      </c>
      <c r="F28" s="1">
        <f>E28^2</f>
        <v>1</v>
      </c>
      <c r="G28" s="1">
        <f>E28*C28</f>
        <v>428.3558357</v>
      </c>
      <c r="H28" s="1">
        <f>($N$19+($N$18*B28))</f>
        <v>442.84245523794505</v>
      </c>
      <c r="I28" s="1">
        <f>C28/H28</f>
        <v>0.96728719352312054</v>
      </c>
      <c r="J28" s="1">
        <f>C28-$T$7</f>
        <v>48.371288420408121</v>
      </c>
      <c r="K28" s="1">
        <v>26</v>
      </c>
      <c r="P28" s="2">
        <v>27</v>
      </c>
      <c r="Q28" s="1">
        <v>1</v>
      </c>
      <c r="S28"/>
      <c r="T28"/>
      <c r="U28"/>
      <c r="V28"/>
      <c r="W28"/>
      <c r="X28"/>
      <c r="Y28"/>
      <c r="Z28"/>
      <c r="AA28"/>
    </row>
    <row r="29" spans="1:27" ht="16.5" x14ac:dyDescent="0.45">
      <c r="A29" s="1">
        <v>1992</v>
      </c>
      <c r="B29" s="2">
        <v>28</v>
      </c>
      <c r="C29" s="2">
        <v>442.39455340000001</v>
      </c>
      <c r="D29" s="1">
        <f>IF(C29&gt;C28,1,0)</f>
        <v>1</v>
      </c>
      <c r="E29" s="1">
        <v>3</v>
      </c>
      <c r="F29" s="1">
        <f>E29^2</f>
        <v>9</v>
      </c>
      <c r="G29" s="1">
        <f>E29*C29</f>
        <v>1327.1836602000001</v>
      </c>
      <c r="H29" s="1">
        <f>($N$19+($N$18*B29))</f>
        <v>445.17052590306923</v>
      </c>
      <c r="I29" s="1">
        <f>C29/H29</f>
        <v>0.99376424911007322</v>
      </c>
      <c r="J29" s="1">
        <f>C29-$T$7</f>
        <v>62.410006120408127</v>
      </c>
      <c r="K29" s="1">
        <v>33</v>
      </c>
      <c r="P29" s="2">
        <v>28</v>
      </c>
      <c r="Q29" s="1">
        <v>1</v>
      </c>
      <c r="S29"/>
      <c r="T29"/>
      <c r="U29"/>
      <c r="V29"/>
      <c r="W29"/>
      <c r="X29"/>
      <c r="Y29"/>
      <c r="Z29"/>
      <c r="AA29"/>
    </row>
    <row r="30" spans="1:27" ht="16.5" x14ac:dyDescent="0.45">
      <c r="A30" s="1">
        <v>1993</v>
      </c>
      <c r="B30" s="2">
        <v>29</v>
      </c>
      <c r="C30" s="2">
        <v>432.78514819999998</v>
      </c>
      <c r="D30" s="1">
        <f>IF(C30&gt;C29,1,0)</f>
        <v>0</v>
      </c>
      <c r="E30" s="1">
        <v>5</v>
      </c>
      <c r="F30" s="1">
        <f>E30^2</f>
        <v>25</v>
      </c>
      <c r="G30" s="1">
        <f>E30*C30</f>
        <v>2163.925741</v>
      </c>
      <c r="H30" s="1">
        <f>($N$19+($N$18*B30))</f>
        <v>447.49859656819342</v>
      </c>
      <c r="I30" s="1">
        <f>C30/H30</f>
        <v>0.96712068265458506</v>
      </c>
      <c r="J30" s="1">
        <f>C30-$T$7</f>
        <v>52.800600920408101</v>
      </c>
      <c r="K30" s="1">
        <v>25</v>
      </c>
      <c r="P30" s="2">
        <v>29</v>
      </c>
      <c r="Q30" s="1">
        <v>1</v>
      </c>
      <c r="S30" t="s">
        <v>45</v>
      </c>
      <c r="T30"/>
      <c r="U30"/>
      <c r="V30"/>
      <c r="W30"/>
      <c r="X30"/>
      <c r="Y30"/>
      <c r="Z30"/>
      <c r="AA30"/>
    </row>
    <row r="31" spans="1:27" ht="17" thickBot="1" x14ac:dyDescent="0.5">
      <c r="A31" s="1">
        <v>1994</v>
      </c>
      <c r="B31" s="2">
        <v>30</v>
      </c>
      <c r="C31" s="2">
        <v>437.24971859999999</v>
      </c>
      <c r="D31" s="1">
        <f>IF(C31&gt;C30,1,0)</f>
        <v>1</v>
      </c>
      <c r="E31" s="1">
        <v>7</v>
      </c>
      <c r="F31" s="1">
        <f>E31^2</f>
        <v>49</v>
      </c>
      <c r="G31" s="1">
        <f>E31*C31</f>
        <v>3060.7480301999999</v>
      </c>
      <c r="H31" s="1">
        <f>($N$19+($N$18*B31))</f>
        <v>449.82666723331761</v>
      </c>
      <c r="I31" s="1">
        <f>C31/H31</f>
        <v>0.97204045569224962</v>
      </c>
      <c r="J31" s="1">
        <f>C31-$T$7</f>
        <v>57.265171320408115</v>
      </c>
      <c r="K31" s="1">
        <v>27</v>
      </c>
      <c r="P31" s="2">
        <v>30</v>
      </c>
      <c r="Q31" s="1">
        <v>1</v>
      </c>
      <c r="S31"/>
      <c r="T31"/>
      <c r="U31"/>
      <c r="V31"/>
      <c r="W31"/>
      <c r="X31"/>
      <c r="Y31"/>
      <c r="Z31"/>
      <c r="AA31"/>
    </row>
    <row r="32" spans="1:27" ht="16.5" x14ac:dyDescent="0.45">
      <c r="A32" s="1">
        <v>1995</v>
      </c>
      <c r="B32" s="2">
        <v>31</v>
      </c>
      <c r="C32" s="2">
        <v>437.20915989999997</v>
      </c>
      <c r="D32" s="1">
        <f>IF(C32&gt;C31,1,0)</f>
        <v>0</v>
      </c>
      <c r="E32" s="1">
        <v>9</v>
      </c>
      <c r="F32" s="1">
        <f>E32^2</f>
        <v>81</v>
      </c>
      <c r="G32" s="1">
        <f>E32*C32</f>
        <v>3934.8824390999998</v>
      </c>
      <c r="H32" s="1">
        <f>($N$19+($N$18*B32))</f>
        <v>452.15473789844179</v>
      </c>
      <c r="I32" s="1">
        <f>C32/H32</f>
        <v>0.96694587771454754</v>
      </c>
      <c r="J32" s="1">
        <f>C32-$T$7</f>
        <v>57.224612620408095</v>
      </c>
      <c r="K32" s="1">
        <v>24</v>
      </c>
      <c r="P32" s="2">
        <v>31</v>
      </c>
      <c r="Q32" s="1">
        <v>1</v>
      </c>
      <c r="S32" s="6" t="s">
        <v>46</v>
      </c>
      <c r="T32" s="6" t="s">
        <v>47</v>
      </c>
      <c r="U32" s="6" t="s">
        <v>48</v>
      </c>
      <c r="V32"/>
      <c r="W32"/>
      <c r="X32"/>
      <c r="Y32"/>
      <c r="Z32"/>
      <c r="AA32"/>
    </row>
    <row r="33" spans="1:27" ht="16.5" x14ac:dyDescent="0.45">
      <c r="A33" s="1">
        <v>1996</v>
      </c>
      <c r="B33" s="2">
        <v>32</v>
      </c>
      <c r="C33" s="2">
        <v>445.36409809999998</v>
      </c>
      <c r="D33" s="1">
        <f>IF(C33&gt;C32,1,0)</f>
        <v>1</v>
      </c>
      <c r="E33" s="1">
        <v>11</v>
      </c>
      <c r="F33" s="1">
        <f>E33^2</f>
        <v>121</v>
      </c>
      <c r="G33" s="1">
        <f>E33*C33</f>
        <v>4899.0050790999994</v>
      </c>
      <c r="H33" s="1">
        <f>($N$19+($N$18*B33))</f>
        <v>454.48280856356598</v>
      </c>
      <c r="I33" s="1">
        <f>C33/H33</f>
        <v>0.97993607174628561</v>
      </c>
      <c r="J33" s="1">
        <f>C33-$T$7</f>
        <v>65.379550820408099</v>
      </c>
      <c r="K33" s="1">
        <v>29</v>
      </c>
      <c r="P33" s="2">
        <v>32</v>
      </c>
      <c r="Q33" s="1">
        <v>1</v>
      </c>
      <c r="S33" s="4">
        <v>1</v>
      </c>
      <c r="T33" s="4">
        <v>379.98454727959188</v>
      </c>
      <c r="U33" s="4">
        <v>-268.9754126795919</v>
      </c>
      <c r="V33"/>
      <c r="W33"/>
      <c r="X33"/>
      <c r="Y33"/>
      <c r="Z33"/>
      <c r="AA33"/>
    </row>
    <row r="34" spans="1:27" ht="16.5" x14ac:dyDescent="0.45">
      <c r="A34" s="1">
        <v>1997</v>
      </c>
      <c r="B34" s="2">
        <v>33</v>
      </c>
      <c r="C34" s="2">
        <v>453.1950104</v>
      </c>
      <c r="D34" s="1">
        <f>IF(C34&gt;C33,1,0)</f>
        <v>1</v>
      </c>
      <c r="E34" s="1">
        <v>13</v>
      </c>
      <c r="F34" s="1">
        <f>E34^2</f>
        <v>169</v>
      </c>
      <c r="G34" s="1">
        <f>E34*C34</f>
        <v>5891.5351351999998</v>
      </c>
      <c r="H34" s="1">
        <f>($N$19+($N$18*B34))</f>
        <v>456.81087922869017</v>
      </c>
      <c r="I34" s="1">
        <f>C34/H34</f>
        <v>0.99208453871590041</v>
      </c>
      <c r="J34" s="1">
        <f>C34-$T$7</f>
        <v>73.210463120408122</v>
      </c>
      <c r="K34" s="1">
        <v>32</v>
      </c>
      <c r="P34" s="2">
        <v>33</v>
      </c>
      <c r="Q34" s="1">
        <v>1</v>
      </c>
      <c r="S34" s="4">
        <v>2</v>
      </c>
      <c r="T34" s="4">
        <v>379.98454727959188</v>
      </c>
      <c r="U34" s="4">
        <v>-249.15611317959187</v>
      </c>
      <c r="V34"/>
      <c r="W34"/>
      <c r="X34"/>
      <c r="Y34"/>
      <c r="Z34"/>
      <c r="AA34"/>
    </row>
    <row r="35" spans="1:27" ht="16.5" x14ac:dyDescent="0.45">
      <c r="A35" s="1">
        <v>1998</v>
      </c>
      <c r="B35" s="2">
        <v>34</v>
      </c>
      <c r="C35" s="2">
        <v>454.40964100000002</v>
      </c>
      <c r="D35" s="1">
        <f>IF(C35&gt;C34,1,0)</f>
        <v>1</v>
      </c>
      <c r="E35" s="1">
        <v>15</v>
      </c>
      <c r="F35" s="1">
        <f>E35^2</f>
        <v>225</v>
      </c>
      <c r="G35" s="1">
        <f>E35*C35</f>
        <v>6816.1446150000002</v>
      </c>
      <c r="H35" s="1">
        <f>($N$19+($N$18*B35))</f>
        <v>459.13894989381436</v>
      </c>
      <c r="I35" s="1">
        <f>C35/H35</f>
        <v>0.98969961294961339</v>
      </c>
      <c r="J35" s="1">
        <f>C35-$T$7</f>
        <v>74.425093720408142</v>
      </c>
      <c r="K35" s="1">
        <v>31</v>
      </c>
      <c r="P35" s="2">
        <v>34</v>
      </c>
      <c r="Q35" s="1">
        <v>1</v>
      </c>
      <c r="S35" s="4">
        <v>3</v>
      </c>
      <c r="T35" s="4">
        <v>379.98454727959188</v>
      </c>
      <c r="U35" s="4">
        <v>-238.69745937959189</v>
      </c>
      <c r="V35"/>
      <c r="W35"/>
      <c r="X35"/>
      <c r="Y35"/>
      <c r="Z35"/>
      <c r="AA35"/>
    </row>
    <row r="36" spans="1:27" ht="16.5" x14ac:dyDescent="0.45">
      <c r="A36" s="1">
        <v>1999</v>
      </c>
      <c r="B36" s="2">
        <v>35</v>
      </c>
      <c r="C36" s="2">
        <v>422.37890579999998</v>
      </c>
      <c r="D36" s="1">
        <f>IF(C36&gt;C35,1,0)</f>
        <v>0</v>
      </c>
      <c r="E36" s="1">
        <v>17</v>
      </c>
      <c r="F36" s="1">
        <f>E36^2</f>
        <v>289</v>
      </c>
      <c r="G36" s="1">
        <f>E36*C36</f>
        <v>7180.4413986</v>
      </c>
      <c r="H36" s="1">
        <f>($N$19+($N$18*B36))</f>
        <v>461.46702055893854</v>
      </c>
      <c r="I36" s="1">
        <f>C36/H36</f>
        <v>0.91529597345527702</v>
      </c>
      <c r="J36" s="1">
        <f>C36-$T$7</f>
        <v>42.394358520408105</v>
      </c>
      <c r="K36" s="1">
        <v>20</v>
      </c>
      <c r="P36" s="2">
        <v>35</v>
      </c>
      <c r="Q36" s="1">
        <v>1</v>
      </c>
      <c r="S36" s="4">
        <v>4</v>
      </c>
      <c r="T36" s="4">
        <v>379.98454727959188</v>
      </c>
      <c r="U36" s="4">
        <v>-225.75677257959188</v>
      </c>
      <c r="V36"/>
      <c r="W36"/>
      <c r="X36"/>
      <c r="Y36"/>
      <c r="Z36"/>
      <c r="AA36"/>
    </row>
    <row r="37" spans="1:27" ht="16.5" x14ac:dyDescent="0.45">
      <c r="A37" s="1">
        <v>2000</v>
      </c>
      <c r="B37" s="2">
        <v>36</v>
      </c>
      <c r="C37" s="2">
        <v>456.0371217</v>
      </c>
      <c r="D37" s="1">
        <f>IF(C37&gt;C36,1,0)</f>
        <v>1</v>
      </c>
      <c r="E37" s="1">
        <v>19</v>
      </c>
      <c r="F37" s="1">
        <f>E37^2</f>
        <v>361</v>
      </c>
      <c r="G37" s="1">
        <f>E37*C37</f>
        <v>8664.7053123000005</v>
      </c>
      <c r="H37" s="1">
        <f>($N$19+($N$18*B37))</f>
        <v>463.79509122406273</v>
      </c>
      <c r="I37" s="1">
        <f>C37/H37</f>
        <v>0.98327285115591101</v>
      </c>
      <c r="J37" s="1">
        <f>C37-$T$7</f>
        <v>76.052574420408121</v>
      </c>
      <c r="K37" s="1">
        <v>30</v>
      </c>
      <c r="P37" s="2">
        <v>36</v>
      </c>
      <c r="Q37" s="1">
        <v>1</v>
      </c>
      <c r="S37" s="4">
        <v>5</v>
      </c>
      <c r="T37" s="4">
        <v>379.98454727959188</v>
      </c>
      <c r="U37" s="4">
        <v>-217.24368187959189</v>
      </c>
      <c r="V37"/>
      <c r="W37"/>
      <c r="X37"/>
      <c r="Y37"/>
      <c r="Z37"/>
      <c r="AA37"/>
    </row>
    <row r="38" spans="1:27" ht="16.5" x14ac:dyDescent="0.45">
      <c r="A38" s="1">
        <v>2001</v>
      </c>
      <c r="B38" s="2">
        <v>37</v>
      </c>
      <c r="C38" s="2">
        <v>440.38660470000002</v>
      </c>
      <c r="D38" s="1">
        <f>IF(C38&gt;C37,1,0)</f>
        <v>0</v>
      </c>
      <c r="E38" s="1">
        <v>21</v>
      </c>
      <c r="F38" s="1">
        <f>E38^2</f>
        <v>441</v>
      </c>
      <c r="G38" s="1">
        <f>E38*C38</f>
        <v>9248.1186987000001</v>
      </c>
      <c r="H38" s="1">
        <f>($N$19+($N$18*B38))</f>
        <v>466.12316188918692</v>
      </c>
      <c r="I38" s="1">
        <f>C38/H38</f>
        <v>0.94478592935635897</v>
      </c>
      <c r="J38" s="1">
        <f>C38-$T$7</f>
        <v>60.402057420408141</v>
      </c>
      <c r="K38" s="1">
        <v>22</v>
      </c>
      <c r="P38" s="2">
        <v>37</v>
      </c>
      <c r="Q38" s="1">
        <v>1</v>
      </c>
      <c r="S38" s="4">
        <v>6</v>
      </c>
      <c r="T38" s="4">
        <v>379.98454727959188</v>
      </c>
      <c r="U38" s="4">
        <v>-187.81806377959188</v>
      </c>
      <c r="V38"/>
      <c r="W38"/>
      <c r="X38"/>
      <c r="Y38"/>
      <c r="Z38"/>
      <c r="AA38"/>
    </row>
    <row r="39" spans="1:27" ht="16.5" x14ac:dyDescent="0.45">
      <c r="A39" s="1">
        <v>2002</v>
      </c>
      <c r="B39" s="2">
        <v>38</v>
      </c>
      <c r="C39" s="2">
        <v>425.19437249999999</v>
      </c>
      <c r="D39" s="1">
        <f>IF(C39&gt;C38,1,0)</f>
        <v>0</v>
      </c>
      <c r="E39" s="1">
        <v>23</v>
      </c>
      <c r="F39" s="1">
        <f>E39^2</f>
        <v>529</v>
      </c>
      <c r="G39" s="1">
        <f>E39*C39</f>
        <v>9779.4705675000005</v>
      </c>
      <c r="H39" s="1">
        <f>($N$19+($N$18*B39))</f>
        <v>468.4512325543111</v>
      </c>
      <c r="I39" s="1">
        <f>C39/H39</f>
        <v>0.90765984365449182</v>
      </c>
      <c r="J39" s="1">
        <f>C39-$T$7</f>
        <v>45.209825220408106</v>
      </c>
      <c r="K39" s="1">
        <v>19</v>
      </c>
      <c r="P39" s="2">
        <v>38</v>
      </c>
      <c r="Q39" s="1">
        <v>1</v>
      </c>
      <c r="S39" s="4">
        <v>7</v>
      </c>
      <c r="T39" s="4">
        <v>379.98454727959188</v>
      </c>
      <c r="U39" s="4">
        <v>-139.18482197959187</v>
      </c>
      <c r="V39"/>
      <c r="W39"/>
      <c r="X39"/>
      <c r="Y39"/>
      <c r="Z39"/>
      <c r="AA39"/>
    </row>
    <row r="40" spans="1:27" ht="16.5" x14ac:dyDescent="0.45">
      <c r="A40" s="1">
        <v>2003</v>
      </c>
      <c r="B40" s="2">
        <v>39</v>
      </c>
      <c r="C40" s="2">
        <v>486.2051735</v>
      </c>
      <c r="D40" s="1">
        <f>IF(C40&gt;C39,1,0)</f>
        <v>1</v>
      </c>
      <c r="E40" s="1">
        <v>25</v>
      </c>
      <c r="F40" s="1">
        <f>E40^2</f>
        <v>625</v>
      </c>
      <c r="G40" s="1">
        <f>E40*C40</f>
        <v>12155.1293375</v>
      </c>
      <c r="H40" s="1">
        <f>($N$19+($N$18*B40))</f>
        <v>470.77930321943529</v>
      </c>
      <c r="I40" s="1">
        <f>C40/H40</f>
        <v>1.0327666704442497</v>
      </c>
      <c r="J40" s="1">
        <f>C40-$T$7</f>
        <v>106.22062622040812</v>
      </c>
      <c r="K40" s="1">
        <v>36</v>
      </c>
      <c r="P40" s="2">
        <v>39</v>
      </c>
      <c r="Q40" s="1">
        <v>1</v>
      </c>
      <c r="S40" s="4">
        <v>8</v>
      </c>
      <c r="T40" s="4">
        <v>379.98454727959188</v>
      </c>
      <c r="U40" s="4">
        <v>-75.767157179591891</v>
      </c>
      <c r="V40"/>
      <c r="W40"/>
      <c r="X40"/>
      <c r="Y40"/>
      <c r="Z40"/>
      <c r="AA40"/>
    </row>
    <row r="41" spans="1:27" ht="16.5" x14ac:dyDescent="0.45">
      <c r="A41" s="1">
        <v>2004</v>
      </c>
      <c r="B41" s="2">
        <v>40</v>
      </c>
      <c r="C41" s="2">
        <v>500.42908610000001</v>
      </c>
      <c r="D41" s="1">
        <f>IF(C41&gt;C40,1,0)</f>
        <v>1</v>
      </c>
      <c r="E41" s="1">
        <v>27</v>
      </c>
      <c r="F41" s="1">
        <f>E41^2</f>
        <v>729</v>
      </c>
      <c r="G41" s="1">
        <f>E41*C41</f>
        <v>13511.5853247</v>
      </c>
      <c r="H41" s="1">
        <f>($N$19+($N$18*B41))</f>
        <v>473.10737388455948</v>
      </c>
      <c r="I41" s="1">
        <f>C41/H41</f>
        <v>1.0577494956189526</v>
      </c>
      <c r="J41" s="1">
        <f>C41-$T$7</f>
        <v>120.44453882040813</v>
      </c>
      <c r="K41" s="1">
        <v>38</v>
      </c>
      <c r="P41" s="2">
        <v>40</v>
      </c>
      <c r="Q41" s="1">
        <v>1</v>
      </c>
      <c r="S41" s="4">
        <v>9</v>
      </c>
      <c r="T41" s="4">
        <v>379.98454727959188</v>
      </c>
      <c r="U41" s="4">
        <v>4.0200200204081398</v>
      </c>
      <c r="V41"/>
      <c r="W41"/>
      <c r="X41"/>
      <c r="Y41"/>
      <c r="Z41"/>
      <c r="AA41"/>
    </row>
    <row r="42" spans="1:27" ht="16.5" x14ac:dyDescent="0.45">
      <c r="A42" s="1">
        <v>2005</v>
      </c>
      <c r="B42" s="2">
        <v>41</v>
      </c>
      <c r="C42" s="2">
        <v>521.2759092</v>
      </c>
      <c r="D42" s="1">
        <f>IF(C42&gt;C41,1,0)</f>
        <v>1</v>
      </c>
      <c r="E42" s="1">
        <v>29</v>
      </c>
      <c r="F42" s="1">
        <f>E42^2</f>
        <v>841</v>
      </c>
      <c r="G42" s="1">
        <f>E42*C42</f>
        <v>15117.001366799999</v>
      </c>
      <c r="H42" s="1">
        <f>($N$19+($N$18*B42))</f>
        <v>475.43544454968367</v>
      </c>
      <c r="I42" s="1">
        <f>C42/H42</f>
        <v>1.0964178526776329</v>
      </c>
      <c r="J42" s="1">
        <f>C42-$T$7</f>
        <v>141.29136192040812</v>
      </c>
      <c r="K42" s="1">
        <v>43</v>
      </c>
      <c r="P42" s="2">
        <v>41</v>
      </c>
      <c r="Q42" s="1">
        <v>1</v>
      </c>
      <c r="S42" s="4">
        <v>10</v>
      </c>
      <c r="T42" s="4">
        <v>379.98454727959188</v>
      </c>
      <c r="U42" s="4">
        <v>49.677609320408123</v>
      </c>
      <c r="V42"/>
      <c r="W42"/>
      <c r="X42"/>
      <c r="Y42"/>
      <c r="Z42"/>
      <c r="AA42"/>
    </row>
    <row r="43" spans="1:27" ht="16.5" x14ac:dyDescent="0.45">
      <c r="A43" s="1">
        <v>2006</v>
      </c>
      <c r="B43" s="2">
        <v>42</v>
      </c>
      <c r="C43" s="2">
        <v>508.94761699999998</v>
      </c>
      <c r="D43" s="1">
        <f>IF(C43&gt;C42,1,0)</f>
        <v>0</v>
      </c>
      <c r="E43" s="1">
        <v>31</v>
      </c>
      <c r="F43" s="1">
        <f>E43^2</f>
        <v>961</v>
      </c>
      <c r="G43" s="1">
        <f>E43*C43</f>
        <v>15777.376127</v>
      </c>
      <c r="H43" s="1">
        <f>($N$19+($N$18*B43))</f>
        <v>477.76351521480785</v>
      </c>
      <c r="I43" s="1">
        <f>C43/H43</f>
        <v>1.0652709987098354</v>
      </c>
      <c r="J43" s="1">
        <f>C43-$T$7</f>
        <v>128.9630697204081</v>
      </c>
      <c r="K43" s="1">
        <v>39</v>
      </c>
      <c r="P43" s="2">
        <v>42</v>
      </c>
      <c r="Q43" s="1">
        <v>1</v>
      </c>
      <c r="S43" s="4">
        <v>11</v>
      </c>
      <c r="T43" s="4">
        <v>379.98454727959188</v>
      </c>
      <c r="U43" s="4">
        <v>-20.667617379591888</v>
      </c>
      <c r="V43"/>
      <c r="W43"/>
      <c r="X43"/>
      <c r="Y43"/>
      <c r="Z43"/>
      <c r="AA43"/>
    </row>
    <row r="44" spans="1:27" ht="16.5" x14ac:dyDescent="0.45">
      <c r="A44" s="1">
        <v>2007</v>
      </c>
      <c r="B44" s="2">
        <v>43</v>
      </c>
      <c r="C44" s="2">
        <v>488.88885770000002</v>
      </c>
      <c r="D44" s="1">
        <f>IF(C44&gt;C43,1,0)</f>
        <v>0</v>
      </c>
      <c r="E44" s="1">
        <v>33</v>
      </c>
      <c r="F44" s="1">
        <f>E44^2</f>
        <v>1089</v>
      </c>
      <c r="G44" s="1">
        <f>E44*C44</f>
        <v>16133.3323041</v>
      </c>
      <c r="H44" s="1">
        <f>($N$19+($N$18*B44))</f>
        <v>480.09158587993204</v>
      </c>
      <c r="I44" s="1">
        <f>C44/H44</f>
        <v>1.0183241533049241</v>
      </c>
      <c r="J44" s="1">
        <f>C44-$T$7</f>
        <v>108.90431042040814</v>
      </c>
      <c r="K44" s="1">
        <v>34</v>
      </c>
      <c r="P44" s="2">
        <v>43</v>
      </c>
      <c r="Q44" s="1">
        <v>1</v>
      </c>
      <c r="S44" s="4">
        <v>12</v>
      </c>
      <c r="T44" s="4">
        <v>379.98454727959188</v>
      </c>
      <c r="U44" s="4">
        <v>57.267307120408134</v>
      </c>
      <c r="V44"/>
      <c r="W44"/>
      <c r="X44"/>
      <c r="Y44"/>
      <c r="Z44"/>
      <c r="AA44"/>
    </row>
    <row r="45" spans="1:27" ht="16.5" x14ac:dyDescent="0.45">
      <c r="A45" s="1">
        <v>2008</v>
      </c>
      <c r="B45" s="2">
        <v>44</v>
      </c>
      <c r="C45" s="2">
        <v>509.87057499999997</v>
      </c>
      <c r="D45" s="1">
        <f>IF(C45&gt;C44,1,0)</f>
        <v>1</v>
      </c>
      <c r="E45" s="1">
        <v>35</v>
      </c>
      <c r="F45" s="1">
        <f>E45^2</f>
        <v>1225</v>
      </c>
      <c r="G45" s="1">
        <f>E45*C45</f>
        <v>17845.470125</v>
      </c>
      <c r="H45" s="1">
        <f>($N$19+($N$18*B45))</f>
        <v>482.41965654505623</v>
      </c>
      <c r="I45" s="1">
        <f>C45/H45</f>
        <v>1.0569025703710726</v>
      </c>
      <c r="J45" s="1">
        <f>C45-$T$7</f>
        <v>129.88602772040809</v>
      </c>
      <c r="K45" s="1">
        <v>37</v>
      </c>
      <c r="P45" s="2">
        <v>44</v>
      </c>
      <c r="Q45" s="1">
        <v>1</v>
      </c>
      <c r="S45" s="4">
        <v>13</v>
      </c>
      <c r="T45" s="4">
        <v>379.98454727959188</v>
      </c>
      <c r="U45" s="4">
        <v>88.416242520408105</v>
      </c>
      <c r="V45"/>
      <c r="W45"/>
      <c r="X45"/>
      <c r="Y45"/>
      <c r="Z45"/>
      <c r="AA45"/>
    </row>
    <row r="46" spans="1:27" ht="16.5" x14ac:dyDescent="0.45">
      <c r="A46" s="1">
        <v>2009</v>
      </c>
      <c r="B46" s="2">
        <v>45</v>
      </c>
      <c r="C46" s="2">
        <v>456.72291230000002</v>
      </c>
      <c r="D46" s="1">
        <f>IF(C46&gt;C45,1,0)</f>
        <v>0</v>
      </c>
      <c r="E46" s="1">
        <v>37</v>
      </c>
      <c r="F46" s="1">
        <f>E46^2</f>
        <v>1369</v>
      </c>
      <c r="G46" s="1">
        <f>E46*C46</f>
        <v>16898.747755100001</v>
      </c>
      <c r="H46" s="1">
        <f>($N$19+($N$18*B46))</f>
        <v>484.74772721018041</v>
      </c>
      <c r="I46" s="1">
        <f>C46/H46</f>
        <v>0.94218680493569551</v>
      </c>
      <c r="J46" s="1">
        <f>C46-$T$7</f>
        <v>76.738365020408139</v>
      </c>
      <c r="K46" s="1">
        <v>21</v>
      </c>
      <c r="P46" s="2">
        <v>45</v>
      </c>
      <c r="Q46" s="1">
        <v>1</v>
      </c>
      <c r="S46" s="4">
        <v>14</v>
      </c>
      <c r="T46" s="4">
        <v>379.98454727959188</v>
      </c>
      <c r="U46" s="4">
        <v>44.450789220408126</v>
      </c>
      <c r="V46"/>
      <c r="W46"/>
      <c r="X46"/>
      <c r="Y46"/>
      <c r="Z46"/>
      <c r="AA46"/>
    </row>
    <row r="47" spans="1:27" ht="16.5" x14ac:dyDescent="0.45">
      <c r="A47" s="1">
        <v>2010</v>
      </c>
      <c r="B47" s="2">
        <v>46</v>
      </c>
      <c r="C47" s="2">
        <v>473.81660290000002</v>
      </c>
      <c r="D47" s="1">
        <f>IF(C47&gt;C46,1,0)</f>
        <v>1</v>
      </c>
      <c r="E47" s="1">
        <v>39</v>
      </c>
      <c r="F47" s="1">
        <f>E47^2</f>
        <v>1521</v>
      </c>
      <c r="G47" s="1">
        <f>E47*C47</f>
        <v>18478.847513100001</v>
      </c>
      <c r="H47" s="1">
        <f>($N$19+($N$18*B47))</f>
        <v>487.0757978753046</v>
      </c>
      <c r="I47" s="1">
        <f>C47/H47</f>
        <v>0.97277796385461335</v>
      </c>
      <c r="J47" s="1">
        <f>C47-$T$7</f>
        <v>93.832055620408141</v>
      </c>
      <c r="K47" s="1">
        <v>28</v>
      </c>
      <c r="P47" s="2">
        <v>46</v>
      </c>
      <c r="Q47" s="1">
        <v>1</v>
      </c>
      <c r="S47" s="4">
        <v>15</v>
      </c>
      <c r="T47" s="4">
        <v>379.98454727959188</v>
      </c>
      <c r="U47" s="4">
        <v>107.99488262040813</v>
      </c>
      <c r="V47"/>
      <c r="W47"/>
      <c r="X47"/>
      <c r="Y47"/>
      <c r="Z47"/>
      <c r="AA47"/>
    </row>
    <row r="48" spans="1:27" ht="16.5" x14ac:dyDescent="0.45">
      <c r="A48" s="1">
        <v>2011</v>
      </c>
      <c r="B48" s="2">
        <v>47</v>
      </c>
      <c r="C48" s="2">
        <v>525.95087060000003</v>
      </c>
      <c r="D48" s="1">
        <f>IF(C48&gt;C47,1,0)</f>
        <v>1</v>
      </c>
      <c r="E48" s="1">
        <v>41</v>
      </c>
      <c r="F48" s="1">
        <f>E48^2</f>
        <v>1681</v>
      </c>
      <c r="G48" s="1">
        <f>E48*C48</f>
        <v>21563.9856946</v>
      </c>
      <c r="H48" s="1">
        <f>($N$19+($N$18*B48))</f>
        <v>489.40386854042879</v>
      </c>
      <c r="I48" s="1">
        <f>C48/H48</f>
        <v>1.0746765696163518</v>
      </c>
      <c r="J48" s="1">
        <f>C48-$T$7</f>
        <v>145.96632332040815</v>
      </c>
      <c r="K48" s="1">
        <v>42</v>
      </c>
      <c r="P48" s="2">
        <v>47</v>
      </c>
      <c r="Q48" s="1">
        <v>1</v>
      </c>
      <c r="S48" s="4">
        <v>16</v>
      </c>
      <c r="T48" s="4">
        <v>379.98454727959188</v>
      </c>
      <c r="U48" s="4">
        <v>129.84390052040811</v>
      </c>
      <c r="V48"/>
      <c r="W48"/>
      <c r="X48"/>
      <c r="Y48"/>
      <c r="Z48"/>
      <c r="AA48"/>
    </row>
    <row r="49" spans="1:27" ht="16.5" x14ac:dyDescent="0.45">
      <c r="A49" s="1">
        <v>2012</v>
      </c>
      <c r="B49" s="2">
        <v>48</v>
      </c>
      <c r="C49" s="2">
        <v>549.8338076</v>
      </c>
      <c r="D49" s="1">
        <f>IF(C49&gt;C48,1,0)</f>
        <v>1</v>
      </c>
      <c r="E49" s="1">
        <v>43</v>
      </c>
      <c r="F49" s="1">
        <f>E49^2</f>
        <v>1849</v>
      </c>
      <c r="G49" s="1">
        <f>E49*C49</f>
        <v>23642.8537268</v>
      </c>
      <c r="H49" s="1">
        <f>($N$19+($N$18*B49))</f>
        <v>491.73193920555298</v>
      </c>
      <c r="I49" s="1">
        <f>C49/H49</f>
        <v>1.1181576053170696</v>
      </c>
      <c r="J49" s="1">
        <f>C49-$T$7</f>
        <v>169.84926032040812</v>
      </c>
      <c r="K49" s="1">
        <v>45</v>
      </c>
      <c r="P49" s="2">
        <v>48</v>
      </c>
      <c r="Q49" s="1">
        <v>1</v>
      </c>
      <c r="S49" s="4">
        <v>17</v>
      </c>
      <c r="T49" s="4">
        <v>379.98454727959188</v>
      </c>
      <c r="U49" s="4">
        <v>126.36270542040813</v>
      </c>
      <c r="V49"/>
      <c r="W49"/>
      <c r="X49"/>
      <c r="Y49"/>
      <c r="Z49"/>
      <c r="AA49"/>
    </row>
    <row r="50" spans="1:27" ht="16.5" x14ac:dyDescent="0.45">
      <c r="A50" s="1">
        <v>2013</v>
      </c>
      <c r="B50" s="2">
        <v>49</v>
      </c>
      <c r="C50" s="2">
        <v>542.34046980000005</v>
      </c>
      <c r="D50" s="1">
        <f>IF(C50&gt;C49,1,0)</f>
        <v>0</v>
      </c>
      <c r="E50" s="1">
        <v>45</v>
      </c>
      <c r="F50" s="1">
        <f>E50^2</f>
        <v>2025</v>
      </c>
      <c r="G50" s="1">
        <f>E50*C50</f>
        <v>24405.321141000004</v>
      </c>
      <c r="H50" s="1">
        <f>($N$19+($N$18*B50))</f>
        <v>494.06000987067722</v>
      </c>
      <c r="I50" s="1">
        <f>C50/H50</f>
        <v>1.0977218535496538</v>
      </c>
      <c r="J50" s="1">
        <f>C50-$T$7</f>
        <v>162.35592252040817</v>
      </c>
      <c r="K50" s="1">
        <v>44</v>
      </c>
      <c r="P50" s="2">
        <v>49</v>
      </c>
      <c r="Q50" s="1">
        <v>1</v>
      </c>
      <c r="S50" s="4">
        <v>18</v>
      </c>
      <c r="T50" s="4">
        <v>379.98454727959188</v>
      </c>
      <c r="U50" s="4">
        <v>-39.800309879591907</v>
      </c>
      <c r="V50"/>
      <c r="W50"/>
      <c r="X50"/>
      <c r="Y50"/>
      <c r="Z50"/>
      <c r="AA50"/>
    </row>
    <row r="51" spans="1:27" ht="16.5" x14ac:dyDescent="0.45">
      <c r="A51" s="1" t="s">
        <v>53</v>
      </c>
      <c r="F51" s="1">
        <f>SUM(F2:F50)</f>
        <v>37040</v>
      </c>
      <c r="G51" s="1">
        <f>SUM(G2:G50)</f>
        <v>86231.737436200012</v>
      </c>
      <c r="S51" s="4">
        <v>19</v>
      </c>
      <c r="T51" s="4">
        <v>379.98454727959188</v>
      </c>
      <c r="U51" s="4">
        <v>-139.72562627959189</v>
      </c>
      <c r="V51"/>
      <c r="W51"/>
      <c r="X51"/>
      <c r="Y51"/>
      <c r="Z51"/>
      <c r="AA51"/>
    </row>
    <row r="52" spans="1:27" ht="16.5" x14ac:dyDescent="0.45">
      <c r="S52" s="4">
        <v>20</v>
      </c>
      <c r="T52" s="4">
        <v>379.98454727959188</v>
      </c>
      <c r="U52" s="4">
        <v>-160.95175967959187</v>
      </c>
      <c r="V52"/>
      <c r="W52"/>
      <c r="X52"/>
      <c r="Y52"/>
      <c r="Z52"/>
      <c r="AA52"/>
    </row>
    <row r="53" spans="1:27" ht="16.5" x14ac:dyDescent="0.45">
      <c r="S53" s="4">
        <v>21</v>
      </c>
      <c r="T53" s="4">
        <v>379.98454727959188</v>
      </c>
      <c r="U53" s="4">
        <v>-207.90988407959188</v>
      </c>
      <c r="V53"/>
      <c r="W53"/>
      <c r="X53"/>
      <c r="Y53"/>
      <c r="Z53"/>
      <c r="AA53"/>
    </row>
    <row r="54" spans="1:27" ht="16.5" x14ac:dyDescent="0.45">
      <c r="S54" s="4">
        <v>22</v>
      </c>
      <c r="T54" s="4">
        <v>379.98454727959188</v>
      </c>
      <c r="U54" s="4">
        <v>-127.39445507959189</v>
      </c>
      <c r="V54"/>
      <c r="W54"/>
      <c r="X54"/>
      <c r="Y54"/>
      <c r="Z54"/>
      <c r="AA54"/>
    </row>
    <row r="55" spans="1:27" ht="16.5" x14ac:dyDescent="0.45">
      <c r="S55" s="4">
        <v>23</v>
      </c>
      <c r="T55" s="4">
        <v>379.98454727959188</v>
      </c>
      <c r="U55" s="4">
        <v>-158.91346987959187</v>
      </c>
      <c r="V55"/>
      <c r="W55"/>
      <c r="X55"/>
      <c r="Y55"/>
      <c r="Z55"/>
      <c r="AA55"/>
    </row>
    <row r="56" spans="1:27" ht="16.5" x14ac:dyDescent="0.45">
      <c r="S56" s="4">
        <v>24</v>
      </c>
      <c r="T56" s="4">
        <v>379.98454727959188</v>
      </c>
      <c r="U56" s="4">
        <v>-103.46577377959187</v>
      </c>
      <c r="V56"/>
      <c r="W56"/>
      <c r="X56"/>
      <c r="Y56"/>
      <c r="Z56"/>
      <c r="AA56"/>
    </row>
    <row r="57" spans="1:27" ht="16.5" x14ac:dyDescent="0.45">
      <c r="S57" s="4">
        <v>25</v>
      </c>
      <c r="T57" s="4">
        <v>379.98454727959188</v>
      </c>
      <c r="U57" s="4">
        <v>-108.83659557959186</v>
      </c>
      <c r="V57"/>
      <c r="W57"/>
      <c r="X57"/>
      <c r="Y57"/>
      <c r="Z57"/>
      <c r="AA57"/>
    </row>
    <row r="58" spans="1:27" ht="16.5" x14ac:dyDescent="0.45">
      <c r="S58" s="4">
        <v>26</v>
      </c>
      <c r="T58" s="4">
        <v>379.98454727959188</v>
      </c>
      <c r="U58" s="4">
        <v>-37.365946779591866</v>
      </c>
      <c r="V58"/>
      <c r="W58"/>
      <c r="X58"/>
      <c r="Y58"/>
      <c r="Z58"/>
      <c r="AA58"/>
    </row>
    <row r="59" spans="1:27" ht="16.5" x14ac:dyDescent="0.45">
      <c r="S59" s="4">
        <v>27</v>
      </c>
      <c r="T59" s="4">
        <v>379.98454727959188</v>
      </c>
      <c r="U59" s="4">
        <v>48.371288420408121</v>
      </c>
      <c r="V59"/>
      <c r="W59"/>
      <c r="X59"/>
      <c r="Y59"/>
      <c r="Z59"/>
      <c r="AA59"/>
    </row>
    <row r="60" spans="1:27" ht="16.5" x14ac:dyDescent="0.45">
      <c r="S60" s="4">
        <v>28</v>
      </c>
      <c r="T60" s="4">
        <v>379.98454727959188</v>
      </c>
      <c r="U60" s="4">
        <v>62.410006120408127</v>
      </c>
      <c r="V60"/>
      <c r="W60"/>
      <c r="X60"/>
      <c r="Y60"/>
      <c r="Z60"/>
      <c r="AA60"/>
    </row>
    <row r="61" spans="1:27" ht="16.5" x14ac:dyDescent="0.45">
      <c r="S61" s="4">
        <v>29</v>
      </c>
      <c r="T61" s="4">
        <v>379.98454727959188</v>
      </c>
      <c r="U61" s="4">
        <v>52.800600920408101</v>
      </c>
      <c r="V61"/>
      <c r="W61"/>
      <c r="X61"/>
      <c r="Y61"/>
      <c r="Z61"/>
      <c r="AA61"/>
    </row>
    <row r="62" spans="1:27" ht="16.5" x14ac:dyDescent="0.45">
      <c r="S62" s="4">
        <v>30</v>
      </c>
      <c r="T62" s="4">
        <v>379.98454727959188</v>
      </c>
      <c r="U62" s="4">
        <v>57.265171320408115</v>
      </c>
      <c r="V62"/>
      <c r="W62"/>
      <c r="X62"/>
      <c r="Y62"/>
      <c r="Z62"/>
      <c r="AA62"/>
    </row>
    <row r="63" spans="1:27" ht="16.5" x14ac:dyDescent="0.45">
      <c r="S63" s="4">
        <v>31</v>
      </c>
      <c r="T63" s="4">
        <v>379.98454727959188</v>
      </c>
      <c r="U63" s="4">
        <v>57.224612620408095</v>
      </c>
      <c r="V63"/>
      <c r="W63"/>
      <c r="X63"/>
      <c r="Y63"/>
      <c r="Z63"/>
      <c r="AA63"/>
    </row>
    <row r="64" spans="1:27" ht="16.5" x14ac:dyDescent="0.45">
      <c r="S64" s="4">
        <v>32</v>
      </c>
      <c r="T64" s="4">
        <v>379.98454727959188</v>
      </c>
      <c r="U64" s="4">
        <v>65.379550820408099</v>
      </c>
      <c r="V64"/>
      <c r="W64"/>
      <c r="X64"/>
      <c r="Y64"/>
      <c r="Z64"/>
      <c r="AA64"/>
    </row>
    <row r="65" spans="19:27" ht="16.5" x14ac:dyDescent="0.45">
      <c r="S65" s="4">
        <v>33</v>
      </c>
      <c r="T65" s="4">
        <v>379.98454727959188</v>
      </c>
      <c r="U65" s="4">
        <v>73.210463120408122</v>
      </c>
      <c r="V65"/>
      <c r="W65"/>
      <c r="X65"/>
      <c r="Y65"/>
      <c r="Z65"/>
      <c r="AA65"/>
    </row>
    <row r="66" spans="19:27" ht="16.5" x14ac:dyDescent="0.45">
      <c r="S66" s="4">
        <v>34</v>
      </c>
      <c r="T66" s="4">
        <v>379.98454727959188</v>
      </c>
      <c r="U66" s="4">
        <v>74.425093720408142</v>
      </c>
      <c r="V66"/>
      <c r="W66"/>
      <c r="X66"/>
      <c r="Y66"/>
      <c r="Z66"/>
      <c r="AA66"/>
    </row>
    <row r="67" spans="19:27" ht="16.5" x14ac:dyDescent="0.45">
      <c r="S67" s="4">
        <v>35</v>
      </c>
      <c r="T67" s="4">
        <v>379.98454727959188</v>
      </c>
      <c r="U67" s="4">
        <v>42.394358520408105</v>
      </c>
      <c r="V67"/>
      <c r="W67"/>
      <c r="X67"/>
      <c r="Y67"/>
      <c r="Z67"/>
      <c r="AA67"/>
    </row>
    <row r="68" spans="19:27" ht="16.5" x14ac:dyDescent="0.45">
      <c r="S68" s="4">
        <v>36</v>
      </c>
      <c r="T68" s="4">
        <v>379.98454727959188</v>
      </c>
      <c r="U68" s="4">
        <v>76.052574420408121</v>
      </c>
      <c r="V68"/>
      <c r="W68"/>
      <c r="X68"/>
      <c r="Y68"/>
      <c r="Z68"/>
      <c r="AA68"/>
    </row>
    <row r="69" spans="19:27" ht="16.5" x14ac:dyDescent="0.45">
      <c r="S69" s="4">
        <v>37</v>
      </c>
      <c r="T69" s="4">
        <v>379.98454727959188</v>
      </c>
      <c r="U69" s="4">
        <v>60.402057420408141</v>
      </c>
      <c r="V69"/>
      <c r="W69"/>
      <c r="X69"/>
      <c r="Y69"/>
      <c r="Z69"/>
      <c r="AA69"/>
    </row>
    <row r="70" spans="19:27" ht="16.5" x14ac:dyDescent="0.45">
      <c r="S70" s="4">
        <v>38</v>
      </c>
      <c r="T70" s="4">
        <v>379.98454727959188</v>
      </c>
      <c r="U70" s="4">
        <v>45.209825220408106</v>
      </c>
      <c r="V70"/>
      <c r="W70"/>
      <c r="X70"/>
      <c r="Y70"/>
      <c r="Z70"/>
      <c r="AA70"/>
    </row>
    <row r="71" spans="19:27" ht="16.5" x14ac:dyDescent="0.45">
      <c r="S71" s="4">
        <v>39</v>
      </c>
      <c r="T71" s="4">
        <v>379.98454727959188</v>
      </c>
      <c r="U71" s="4">
        <v>106.22062622040812</v>
      </c>
      <c r="V71"/>
      <c r="W71"/>
      <c r="X71"/>
      <c r="Y71"/>
      <c r="Z71"/>
      <c r="AA71"/>
    </row>
    <row r="72" spans="19:27" ht="16.5" x14ac:dyDescent="0.45">
      <c r="S72" s="4">
        <v>40</v>
      </c>
      <c r="T72" s="4">
        <v>379.98454727959188</v>
      </c>
      <c r="U72" s="4">
        <v>120.44453882040813</v>
      </c>
      <c r="V72"/>
      <c r="W72"/>
      <c r="X72"/>
      <c r="Y72"/>
      <c r="Z72"/>
      <c r="AA72"/>
    </row>
    <row r="73" spans="19:27" ht="16.5" x14ac:dyDescent="0.45">
      <c r="S73" s="4">
        <v>41</v>
      </c>
      <c r="T73" s="4">
        <v>379.98454727959188</v>
      </c>
      <c r="U73" s="4">
        <v>141.29136192040812</v>
      </c>
      <c r="V73"/>
      <c r="W73"/>
      <c r="X73"/>
      <c r="Y73"/>
      <c r="Z73"/>
      <c r="AA73"/>
    </row>
    <row r="74" spans="19:27" ht="16.5" x14ac:dyDescent="0.45">
      <c r="S74" s="4">
        <v>42</v>
      </c>
      <c r="T74" s="4">
        <v>379.98454727959188</v>
      </c>
      <c r="U74" s="4">
        <v>128.9630697204081</v>
      </c>
      <c r="V74"/>
      <c r="W74"/>
      <c r="X74"/>
      <c r="Y74"/>
      <c r="Z74"/>
      <c r="AA74"/>
    </row>
    <row r="75" spans="19:27" ht="16.5" x14ac:dyDescent="0.45">
      <c r="S75" s="4">
        <v>43</v>
      </c>
      <c r="T75" s="4">
        <v>379.98454727959188</v>
      </c>
      <c r="U75" s="4">
        <v>108.90431042040814</v>
      </c>
      <c r="V75"/>
      <c r="W75"/>
      <c r="X75"/>
      <c r="Y75"/>
      <c r="Z75"/>
      <c r="AA75"/>
    </row>
    <row r="76" spans="19:27" ht="16.5" x14ac:dyDescent="0.45">
      <c r="S76" s="4">
        <v>44</v>
      </c>
      <c r="T76" s="4">
        <v>379.98454727959188</v>
      </c>
      <c r="U76" s="4">
        <v>129.88602772040809</v>
      </c>
      <c r="V76"/>
      <c r="W76"/>
      <c r="X76"/>
      <c r="Y76"/>
      <c r="Z76"/>
      <c r="AA76"/>
    </row>
    <row r="77" spans="19:27" ht="16.5" x14ac:dyDescent="0.45">
      <c r="S77" s="4">
        <v>45</v>
      </c>
      <c r="T77" s="4">
        <v>379.98454727959188</v>
      </c>
      <c r="U77" s="4">
        <v>76.738365020408139</v>
      </c>
      <c r="V77"/>
      <c r="W77"/>
      <c r="X77"/>
      <c r="Y77"/>
      <c r="Z77"/>
      <c r="AA77"/>
    </row>
    <row r="78" spans="19:27" ht="16.5" x14ac:dyDescent="0.45">
      <c r="S78" s="4">
        <v>46</v>
      </c>
      <c r="T78" s="4">
        <v>379.98454727959188</v>
      </c>
      <c r="U78" s="4">
        <v>93.832055620408141</v>
      </c>
      <c r="V78"/>
      <c r="W78"/>
      <c r="X78"/>
      <c r="Y78"/>
      <c r="Z78"/>
      <c r="AA78"/>
    </row>
    <row r="79" spans="19:27" ht="16.5" x14ac:dyDescent="0.45">
      <c r="S79" s="4">
        <v>47</v>
      </c>
      <c r="T79" s="4">
        <v>379.98454727959188</v>
      </c>
      <c r="U79" s="4">
        <v>145.96632332040815</v>
      </c>
      <c r="V79"/>
      <c r="W79"/>
      <c r="X79"/>
      <c r="Y79"/>
      <c r="Z79"/>
      <c r="AA79"/>
    </row>
    <row r="80" spans="19:27" ht="16.5" x14ac:dyDescent="0.45">
      <c r="S80" s="4">
        <v>48</v>
      </c>
      <c r="T80" s="4">
        <v>379.98454727959188</v>
      </c>
      <c r="U80" s="4">
        <v>169.84926032040812</v>
      </c>
      <c r="V80"/>
      <c r="W80"/>
      <c r="X80"/>
      <c r="Y80"/>
      <c r="Z80"/>
      <c r="AA80"/>
    </row>
    <row r="81" spans="19:27" ht="17" thickBot="1" x14ac:dyDescent="0.5">
      <c r="S81" s="5">
        <v>49</v>
      </c>
      <c r="T81" s="5">
        <v>379.98454727959188</v>
      </c>
      <c r="U81" s="5">
        <v>162.35592252040817</v>
      </c>
      <c r="V81"/>
      <c r="W81"/>
      <c r="X81"/>
      <c r="Y81"/>
      <c r="Z81"/>
      <c r="AA81"/>
    </row>
  </sheetData>
  <autoFilter ref="A1:K51" xr:uid="{49E90845-3142-45D0-805F-83C643E285A5}">
    <sortState xmlns:xlrd2="http://schemas.microsoft.com/office/spreadsheetml/2017/richdata2" ref="A2:K51">
      <sortCondition ref="B1:B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2025-02-14T17:43:13Z</dcterms:created>
  <dcterms:modified xsi:type="dcterms:W3CDTF">2025-02-15T03:54:23Z</dcterms:modified>
</cp:coreProperties>
</file>