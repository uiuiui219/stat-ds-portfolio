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UIUI\KMUTT\STD 335\"/>
    </mc:Choice>
  </mc:AlternateContent>
  <xr:revisionPtr revIDLastSave="0" documentId="13_ncr:1_{865B0A0D-D29E-4420-A72E-4EDDB89B3C9C}" xr6:coauthVersionLast="47" xr6:coauthVersionMax="47" xr10:uidLastSave="{00000000-0000-0000-0000-000000000000}"/>
  <bookViews>
    <workbookView xWindow="-110" yWindow="-110" windowWidth="19420" windowHeight="11500" xr2:uid="{02B5C498-BE68-493B-A898-EB9A9C7B78B4}"/>
  </bookViews>
  <sheets>
    <sheet name="Sheet1" sheetId="1" r:id="rId1"/>
  </sheets>
  <definedNames>
    <definedName name="_xlnm._FilterDatabase" localSheetId="0" hidden="1">Sheet1!$A$20:$I$46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1" l="1"/>
  <c r="F149" i="1"/>
  <c r="F152" i="1" s="1"/>
  <c r="C154" i="1" s="1"/>
  <c r="F150" i="1"/>
  <c r="F151" i="1"/>
  <c r="F148" i="1"/>
  <c r="L136" i="1"/>
  <c r="L118" i="1"/>
  <c r="L117" i="1"/>
  <c r="L108" i="1"/>
  <c r="L107" i="1"/>
  <c r="L98" i="1"/>
  <c r="L97" i="1"/>
  <c r="D94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62" i="1"/>
  <c r="M82" i="1" a="1"/>
  <c r="M82" i="1" s="1"/>
  <c r="M72" i="1" a="1"/>
  <c r="M72" i="1" s="1"/>
  <c r="M77" i="1" s="1" a="1"/>
  <c r="M77" i="1" s="1"/>
  <c r="L128" i="1" s="1" a="1"/>
  <c r="L128" i="1" s="1"/>
  <c r="J52" i="1"/>
  <c r="J53" i="1"/>
  <c r="J54" i="1"/>
  <c r="J51" i="1"/>
  <c r="E55" i="1"/>
  <c r="F55" i="1"/>
  <c r="G55" i="1"/>
  <c r="H55" i="1"/>
  <c r="I55" i="1"/>
  <c r="D55" i="1"/>
  <c r="L31" i="1"/>
  <c r="L32" i="1" s="1"/>
  <c r="L33" i="1"/>
  <c r="L35" i="1"/>
  <c r="L38" i="1"/>
  <c r="L39" i="1"/>
  <c r="D45" i="1"/>
  <c r="M33" i="1"/>
  <c r="N33" i="1"/>
  <c r="O33" i="1"/>
  <c r="M31" i="1"/>
  <c r="M32" i="1" s="1"/>
  <c r="N31" i="1"/>
  <c r="N32" i="1" s="1"/>
  <c r="O31" i="1"/>
  <c r="O32" i="1" s="1"/>
  <c r="B46" i="1"/>
  <c r="M21" i="1" s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21" i="1"/>
  <c r="J18" i="1"/>
  <c r="J17" i="1"/>
  <c r="J15" i="1"/>
  <c r="J14" i="1"/>
  <c r="F12" i="1"/>
  <c r="F13" i="1"/>
  <c r="F14" i="1"/>
  <c r="F15" i="1"/>
  <c r="F16" i="1"/>
  <c r="F11" i="1"/>
  <c r="G15" i="1" l="1"/>
  <c r="P82" i="1" a="1"/>
  <c r="I86" i="1"/>
  <c r="C101" i="1" s="1"/>
  <c r="G16" i="1"/>
  <c r="G14" i="1"/>
  <c r="G12" i="1"/>
  <c r="J55" i="1"/>
  <c r="K51" i="1" s="1"/>
  <c r="G13" i="1"/>
  <c r="M34" i="1"/>
  <c r="L34" i="1"/>
  <c r="O34" i="1"/>
  <c r="N34" i="1"/>
  <c r="F45" i="1"/>
  <c r="E45" i="1"/>
  <c r="P82" i="1" l="1"/>
  <c r="L104" i="1"/>
  <c r="L94" i="1"/>
  <c r="D95" i="1"/>
  <c r="L114" i="1"/>
  <c r="J13" i="1"/>
  <c r="J16" i="1" s="1"/>
  <c r="J12" i="1" s="1"/>
  <c r="L36" i="1"/>
  <c r="L37" i="1" s="1"/>
  <c r="L43" i="1" s="1"/>
  <c r="K52" i="1"/>
  <c r="L52" i="1" s="1"/>
  <c r="K53" i="1"/>
  <c r="L53" i="1" s="1"/>
  <c r="K54" i="1"/>
  <c r="L54" i="1" s="1"/>
  <c r="M20" i="1"/>
  <c r="G22" i="1" s="1"/>
  <c r="H22" i="1" s="1"/>
  <c r="L51" i="1"/>
  <c r="D99" i="1" l="1"/>
  <c r="D100" i="1"/>
  <c r="G28" i="1"/>
  <c r="H28" i="1" s="1"/>
  <c r="G40" i="1"/>
  <c r="H40" i="1" s="1"/>
  <c r="G29" i="1"/>
  <c r="H29" i="1" s="1"/>
  <c r="G66" i="1"/>
  <c r="F122" i="1"/>
  <c r="F123" i="1"/>
  <c r="F124" i="1"/>
  <c r="F125" i="1"/>
  <c r="G75" i="1"/>
  <c r="G81" i="1"/>
  <c r="G63" i="1"/>
  <c r="G69" i="1"/>
  <c r="G62" i="1"/>
  <c r="G68" i="1"/>
  <c r="G85" i="1"/>
  <c r="G67" i="1"/>
  <c r="G73" i="1"/>
  <c r="G78" i="1"/>
  <c r="G84" i="1"/>
  <c r="G77" i="1"/>
  <c r="G72" i="1"/>
  <c r="G65" i="1"/>
  <c r="G83" i="1"/>
  <c r="G79" i="1"/>
  <c r="G71" i="1"/>
  <c r="G76" i="1"/>
  <c r="G82" i="1"/>
  <c r="G64" i="1"/>
  <c r="G70" i="1"/>
  <c r="G80" i="1"/>
  <c r="G74" i="1"/>
  <c r="G41" i="1"/>
  <c r="H41" i="1" s="1"/>
  <c r="G26" i="1"/>
  <c r="H26" i="1" s="1"/>
  <c r="G34" i="1"/>
  <c r="H34" i="1" s="1"/>
  <c r="G21" i="1"/>
  <c r="H21" i="1" s="1"/>
  <c r="G27" i="1"/>
  <c r="H27" i="1" s="1"/>
  <c r="G39" i="1"/>
  <c r="H39" i="1" s="1"/>
  <c r="G31" i="1"/>
  <c r="H31" i="1" s="1"/>
  <c r="G24" i="1"/>
  <c r="H24" i="1" s="1"/>
  <c r="G44" i="1"/>
  <c r="H44" i="1" s="1"/>
  <c r="G36" i="1"/>
  <c r="H36" i="1" s="1"/>
  <c r="G33" i="1"/>
  <c r="H33" i="1" s="1"/>
  <c r="G25" i="1"/>
  <c r="H25" i="1" s="1"/>
  <c r="G37" i="1"/>
  <c r="H37" i="1" s="1"/>
  <c r="G23" i="1"/>
  <c r="H23" i="1" s="1"/>
  <c r="K56" i="1"/>
  <c r="G38" i="1"/>
  <c r="H38" i="1" s="1"/>
  <c r="G32" i="1"/>
  <c r="H32" i="1" s="1"/>
  <c r="G42" i="1"/>
  <c r="H42" i="1" s="1"/>
  <c r="G35" i="1"/>
  <c r="H35" i="1" s="1"/>
  <c r="G30" i="1"/>
  <c r="H30" i="1" s="1"/>
  <c r="G43" i="1"/>
  <c r="H43" i="1" s="1"/>
  <c r="H70" i="1" l="1"/>
  <c r="J70" i="1"/>
  <c r="H67" i="1"/>
  <c r="J67" i="1"/>
  <c r="H85" i="1"/>
  <c r="J85" i="1"/>
  <c r="H71" i="1"/>
  <c r="J71" i="1"/>
  <c r="H79" i="1"/>
  <c r="J79" i="1"/>
  <c r="H66" i="1"/>
  <c r="J66" i="1"/>
  <c r="H83" i="1"/>
  <c r="J83" i="1"/>
  <c r="H77" i="1"/>
  <c r="J77" i="1"/>
  <c r="J73" i="1"/>
  <c r="H73" i="1"/>
  <c r="H82" i="1"/>
  <c r="J82" i="1"/>
  <c r="H68" i="1"/>
  <c r="J68" i="1"/>
  <c r="H63" i="1"/>
  <c r="J63" i="1"/>
  <c r="H72" i="1"/>
  <c r="J72" i="1"/>
  <c r="H75" i="1"/>
  <c r="J75" i="1"/>
  <c r="H74" i="1"/>
  <c r="J74" i="1"/>
  <c r="H84" i="1"/>
  <c r="J84" i="1"/>
  <c r="D96" i="1"/>
  <c r="J64" i="1"/>
  <c r="H64" i="1"/>
  <c r="H76" i="1"/>
  <c r="J76" i="1"/>
  <c r="H62" i="1"/>
  <c r="J62" i="1"/>
  <c r="H69" i="1"/>
  <c r="J69" i="1"/>
  <c r="H65" i="1"/>
  <c r="J65" i="1"/>
  <c r="H81" i="1"/>
  <c r="J81" i="1"/>
  <c r="H80" i="1"/>
  <c r="J80" i="1"/>
  <c r="H78" i="1"/>
  <c r="J78" i="1"/>
  <c r="J86" i="1" l="1"/>
  <c r="H86" i="1"/>
  <c r="C100" i="1" s="1"/>
  <c r="D104" i="1" l="1"/>
  <c r="C99" i="1"/>
  <c r="E99" i="1" s="1"/>
  <c r="E100" i="1"/>
  <c r="M134" i="1" l="1"/>
  <c r="L134" i="1"/>
  <c r="N134" i="1"/>
  <c r="O134" i="1"/>
  <c r="F99" i="1"/>
  <c r="D92" i="1" s="1"/>
  <c r="L115" i="1"/>
  <c r="L116" i="1" s="1"/>
  <c r="L112" i="1" s="1"/>
  <c r="L95" i="1"/>
  <c r="L96" i="1" s="1"/>
  <c r="L92" i="1" s="1"/>
  <c r="L105" i="1"/>
  <c r="L106" i="1" s="1"/>
  <c r="L102" i="1" s="1"/>
  <c r="H123" i="1" l="1"/>
  <c r="G123" i="1"/>
  <c r="H125" i="1"/>
  <c r="G125" i="1"/>
  <c r="H124" i="1"/>
  <c r="G124" i="1"/>
  <c r="H122" i="1"/>
  <c r="G1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<sst xmlns="http://schemas.openxmlformats.org/spreadsheetml/2006/main" count="165" uniqueCount="126">
  <si>
    <t>sign test</t>
  </si>
  <si>
    <t>ybar</t>
  </si>
  <si>
    <t>sign</t>
  </si>
  <si>
    <t>H0</t>
  </si>
  <si>
    <t>H1</t>
  </si>
  <si>
    <t>TS with No Trend</t>
  </si>
  <si>
    <t>Ts Wwith Trend</t>
  </si>
  <si>
    <t>v</t>
  </si>
  <si>
    <t>muv</t>
  </si>
  <si>
    <t>sigma v</t>
  </si>
  <si>
    <t>Z</t>
  </si>
  <si>
    <t>- Z0.025</t>
  </si>
  <si>
    <t>+ Z0.025</t>
  </si>
  <si>
    <t>Trend</t>
  </si>
  <si>
    <t>y</t>
  </si>
  <si>
    <t>t</t>
  </si>
  <si>
    <t>t'</t>
  </si>
  <si>
    <t>(t')^2</t>
  </si>
  <si>
    <t>t'y</t>
  </si>
  <si>
    <t>b1</t>
  </si>
  <si>
    <t>sum(t'y)/sum(t'^2)</t>
  </si>
  <si>
    <t>sum</t>
  </si>
  <si>
    <t>b0</t>
  </si>
  <si>
    <t>avg</t>
  </si>
  <si>
    <t>T hat</t>
  </si>
  <si>
    <t>rank</t>
  </si>
  <si>
    <t>Rank</t>
  </si>
  <si>
    <t>Ri</t>
  </si>
  <si>
    <t>Ri^2</t>
  </si>
  <si>
    <t>ni</t>
  </si>
  <si>
    <t>Ri^2/ni</t>
  </si>
  <si>
    <t>sum(Ri^2/ni)</t>
  </si>
  <si>
    <t>H</t>
  </si>
  <si>
    <t>n</t>
  </si>
  <si>
    <t>chi-square 0.05,3</t>
  </si>
  <si>
    <t>L</t>
  </si>
  <si>
    <t>TS with No seasonal</t>
  </si>
  <si>
    <t>TS with Seasonal</t>
  </si>
  <si>
    <t>y/T hat</t>
  </si>
  <si>
    <t>forecast seasonal</t>
  </si>
  <si>
    <t>S hat</t>
  </si>
  <si>
    <t>shat</t>
  </si>
  <si>
    <t>yibar</t>
  </si>
  <si>
    <t>S hat = (yibar/ybarbar)</t>
  </si>
  <si>
    <t>y hat</t>
  </si>
  <si>
    <t>predict</t>
  </si>
  <si>
    <t>d2</t>
  </si>
  <si>
    <t>d3</t>
  </si>
  <si>
    <t>d4</t>
  </si>
  <si>
    <t>ไตรมาส</t>
  </si>
  <si>
    <t>dummy</t>
  </si>
  <si>
    <t>0,0,0</t>
  </si>
  <si>
    <t>1,0,0</t>
  </si>
  <si>
    <t>0,1,0</t>
  </si>
  <si>
    <t>0,0,1</t>
  </si>
  <si>
    <t>x</t>
  </si>
  <si>
    <t>X'</t>
  </si>
  <si>
    <t>X'X</t>
  </si>
  <si>
    <t>(X'X)^-1</t>
  </si>
  <si>
    <t>X'Y</t>
  </si>
  <si>
    <t>B hat</t>
  </si>
  <si>
    <t>= ((X'X)^-1)X'Y</t>
  </si>
  <si>
    <t>Yhat</t>
  </si>
  <si>
    <t>B0</t>
  </si>
  <si>
    <t>B2d2t</t>
  </si>
  <si>
    <t>B3d3t</t>
  </si>
  <si>
    <t>B4d4t</t>
  </si>
  <si>
    <t>B2</t>
  </si>
  <si>
    <t>B3</t>
  </si>
  <si>
    <t>B4</t>
  </si>
  <si>
    <t>yhat</t>
  </si>
  <si>
    <t>anova test</t>
  </si>
  <si>
    <t>e^2</t>
  </si>
  <si>
    <t>(y-ybar)^2</t>
  </si>
  <si>
    <t>regression</t>
  </si>
  <si>
    <t>error</t>
  </si>
  <si>
    <t>total</t>
  </si>
  <si>
    <t>SS</t>
  </si>
  <si>
    <t>df</t>
  </si>
  <si>
    <t>MS</t>
  </si>
  <si>
    <t>F</t>
  </si>
  <si>
    <t>k</t>
  </si>
  <si>
    <t>sse</t>
  </si>
  <si>
    <t>sst</t>
  </si>
  <si>
    <t>ssr</t>
  </si>
  <si>
    <t>(yhat-yhatbar)^2</t>
  </si>
  <si>
    <t>F0.05,3,20</t>
  </si>
  <si>
    <t>B2=B3=B4=0 (ตัวแบบไม่เหมาะสม)</t>
  </si>
  <si>
    <t>Bi != 0 (ตัวแบบเหมาะสม)</t>
  </si>
  <si>
    <t>t test each B</t>
  </si>
  <si>
    <t>B2 = 0 (B2 ไม่ควรอยู่ในตัวแบบ)</t>
  </si>
  <si>
    <t>B2 != 0 (B2 ควรอยู่ในตัวแบบ)</t>
  </si>
  <si>
    <t>B hat 2</t>
  </si>
  <si>
    <t>S</t>
  </si>
  <si>
    <t>S^2</t>
  </si>
  <si>
    <t>+ t0.025,20</t>
  </si>
  <si>
    <t>- t0.025,20</t>
  </si>
  <si>
    <t>B3 = 0 (B3 ไม่ควรอยู่ในตัวแบบ)</t>
  </si>
  <si>
    <t>B3 != 0 (B3 ควรอยู่ในตัวแบบ)</t>
  </si>
  <si>
    <t>B hat 3</t>
  </si>
  <si>
    <t>B4 = 0 (B4 ไม่ควรอยู่ในตัวแบบ)</t>
  </si>
  <si>
    <t>B4 != 0 (B4 ควรอยู่ในตัวแบบ)</t>
  </si>
  <si>
    <t>B hat 4</t>
  </si>
  <si>
    <t>Forecast</t>
  </si>
  <si>
    <t>point est</t>
  </si>
  <si>
    <t>t20,0.025</t>
  </si>
  <si>
    <t>X0'</t>
  </si>
  <si>
    <t>(X0)((X'X)^-1)(X0')</t>
  </si>
  <si>
    <t>S*sqrt(1+(X0)((X'X)^-1)(X0'))</t>
  </si>
  <si>
    <t>interval est (alpha = 0.05)</t>
  </si>
  <si>
    <t>Lower Bound</t>
  </si>
  <si>
    <t>Upper Bound</t>
  </si>
  <si>
    <t>ไตรมาส 1</t>
  </si>
  <si>
    <t>ไตรมาส 2</t>
  </si>
  <si>
    <t>ไตรมาส 3</t>
  </si>
  <si>
    <t>ไตรมาส 4</t>
  </si>
  <si>
    <t>เมื่อ</t>
  </si>
  <si>
    <t>Q1</t>
  </si>
  <si>
    <t>Q2</t>
  </si>
  <si>
    <t>Q3</t>
  </si>
  <si>
    <t>Q4</t>
  </si>
  <si>
    <t>Y</t>
  </si>
  <si>
    <t xml:space="preserve">Lower </t>
  </si>
  <si>
    <t>Upper</t>
  </si>
  <si>
    <t>RSME</t>
  </si>
  <si>
    <t>RMSE ของ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</si>
</sst>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/>
    <xf numFmtId="0" fontId="1" fillId="0" borderId="0" xfId="0" applyFont="1"/>
    <xf numFmtId="0" fontId="0" fillId="5" borderId="0" xfId="0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Sheet1!$B$21:$B$44</c:f>
              <c:numCache>
                <c:formatCode>General</c:formatCode>
                <c:ptCount val="24"/>
                <c:pt idx="0">
                  <c:v>255</c:v>
                </c:pt>
                <c:pt idx="1">
                  <c:v>351</c:v>
                </c:pt>
                <c:pt idx="2">
                  <c:v>425</c:v>
                </c:pt>
                <c:pt idx="3">
                  <c:v>400</c:v>
                </c:pt>
                <c:pt idx="4">
                  <c:v>269</c:v>
                </c:pt>
                <c:pt idx="5">
                  <c:v>310</c:v>
                </c:pt>
                <c:pt idx="6">
                  <c:v>396</c:v>
                </c:pt>
                <c:pt idx="7">
                  <c:v>410</c:v>
                </c:pt>
                <c:pt idx="8">
                  <c:v>291</c:v>
                </c:pt>
                <c:pt idx="9">
                  <c:v>332</c:v>
                </c:pt>
                <c:pt idx="10">
                  <c:v>358</c:v>
                </c:pt>
                <c:pt idx="11">
                  <c:v>395</c:v>
                </c:pt>
                <c:pt idx="12">
                  <c:v>198</c:v>
                </c:pt>
                <c:pt idx="13">
                  <c:v>289</c:v>
                </c:pt>
                <c:pt idx="14">
                  <c:v>310</c:v>
                </c:pt>
                <c:pt idx="15">
                  <c:v>357</c:v>
                </c:pt>
                <c:pt idx="16">
                  <c:v>200</c:v>
                </c:pt>
                <c:pt idx="17">
                  <c:v>290</c:v>
                </c:pt>
                <c:pt idx="18">
                  <c:v>331</c:v>
                </c:pt>
                <c:pt idx="19">
                  <c:v>359</c:v>
                </c:pt>
                <c:pt idx="20">
                  <c:v>250</c:v>
                </c:pt>
                <c:pt idx="21">
                  <c:v>300</c:v>
                </c:pt>
                <c:pt idx="22">
                  <c:v>350</c:v>
                </c:pt>
                <c:pt idx="23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4-4669-8A1F-5E08CCB6B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7742160"/>
        <c:axId val="1227742640"/>
      </c:lineChart>
      <c:catAx>
        <c:axId val="122774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742640"/>
        <c:crosses val="autoZero"/>
        <c:auto val="1"/>
        <c:lblAlgn val="ctr"/>
        <c:lblOffset val="100"/>
        <c:noMultiLvlLbl val="0"/>
      </c:catAx>
      <c:valAx>
        <c:axId val="122774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74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Sheet1!$F$121</c:f>
              <c:strCache>
                <c:ptCount val="1"/>
                <c:pt idx="0">
                  <c:v>Yhat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Sheet1!$F$122:$F$125</c:f>
              <c:numCache>
                <c:formatCode>General</c:formatCode>
                <c:ptCount val="4"/>
                <c:pt idx="0">
                  <c:v>243.83333333333331</c:v>
                </c:pt>
                <c:pt idx="1">
                  <c:v>312</c:v>
                </c:pt>
                <c:pt idx="2">
                  <c:v>361.66666666666663</c:v>
                </c:pt>
                <c:pt idx="3">
                  <c:v>386.83333333333331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9F-4222-8F28-B1460B077229}"/>
            </c:ext>
          </c:extLst>
        </c:ser>
        <c:ser>
          <c:idx val="1"/>
          <c:order val="1"/>
          <c:tx>
            <c:strRef>
              <c:f>Sheet1!$G$121</c:f>
              <c:strCache>
                <c:ptCount val="1"/>
                <c:pt idx="0">
                  <c:v>Lower Bound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Sheet1!$G$122:$G$125</c:f>
              <c:numCache>
                <c:formatCode>General</c:formatCode>
                <c:ptCount val="4"/>
                <c:pt idx="0">
                  <c:v>169.63658798658855</c:v>
                </c:pt>
                <c:pt idx="1">
                  <c:v>237.80325465325524</c:v>
                </c:pt>
                <c:pt idx="2">
                  <c:v>287.46992131992187</c:v>
                </c:pt>
                <c:pt idx="3">
                  <c:v>312.63658798658855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9F-4222-8F28-B1460B077229}"/>
            </c:ext>
          </c:extLst>
        </c:ser>
        <c:ser>
          <c:idx val="2"/>
          <c:order val="2"/>
          <c:tx>
            <c:strRef>
              <c:f>Sheet1!$H$121</c:f>
              <c:strCache>
                <c:ptCount val="1"/>
                <c:pt idx="0">
                  <c:v>Upper Bound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Sheet1!$H$122:$H$125</c:f>
              <c:numCache>
                <c:formatCode>General</c:formatCode>
                <c:ptCount val="4"/>
                <c:pt idx="0">
                  <c:v>318.03007868007808</c:v>
                </c:pt>
                <c:pt idx="1">
                  <c:v>386.19674534674476</c:v>
                </c:pt>
                <c:pt idx="2">
                  <c:v>435.86341201341139</c:v>
                </c:pt>
                <c:pt idx="3">
                  <c:v>461.03007868007808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9F-4222-8F28-B1460B077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46447"/>
        <c:axId val="15538287"/>
      </c:lineChart>
      <c:catAx>
        <c:axId val="1554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8287"/>
        <c:crosses val="autoZero"/>
        <c:auto val="1"/>
        <c:lblAlgn val="ctr"/>
        <c:lblOffset val="100"/>
        <c:noMultiLvlLbl val="0"/>
      </c:catAx>
      <c:valAx>
        <c:axId val="1553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491003</xdr:colOff>
      <xdr:row>1</xdr:row>
      <xdr:rowOff>103333</xdr:rowOff>
    </xdr:from>
    <xdr:to>
      <xdr:col>16</xdr:col>
      <xdr:colOff>647828</xdr:colOff>
      <xdr:row>14</xdr:row>
      <xdr:rowOff>94867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A81CF2-1F72-E704-2488-D38324A17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581966</xdr:colOff>
      <xdr:row>126</xdr:row>
      <xdr:rowOff>27494</xdr:rowOff>
    </xdr:from>
    <xdr:to>
      <xdr:col>8</xdr:col>
      <xdr:colOff>25120</xdr:colOff>
      <xdr:row>139</xdr:row>
      <xdr:rowOff>49265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F9CE1D-68E6-DA36-DF05-7A1368E86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7ADE-6871-407F-98EE-89AD242DDD69}">
  <dimension ref="A1:AJ154"/>
  <sheetViews>
    <sheetView tabSelected="1" zoomScale="79" workbookViewId="0">
      <selection activeCell="C154" sqref="C154"/>
    </sheetView>
  </sheetViews>
  <sheetFormatPr defaultRowHeight="16.5" x14ac:dyDescent="0.45"/>
  <cols>
    <col min="1" max="1" width="16.1640625" bestFit="1" customWidth="1"/>
    <col min="2" max="2" width="8.6640625" customWidth="1"/>
    <col min="7" max="8" width="11.9140625" bestFit="1" customWidth="1"/>
    <col min="9" max="9" width="11.83203125" bestFit="1" customWidth="1"/>
    <col min="10" max="10" width="14.83203125" customWidth="1"/>
    <col min="11" max="11" width="24.08203125" bestFit="1" customWidth="1"/>
    <col min="12" max="12" width="23.83203125" bestFit="1" customWidth="1"/>
    <col min="16" max="16" width="12.58203125" bestFit="1" customWidth="1"/>
    <col min="17" max="17" width="14.75" bestFit="1" customWidth="1"/>
    <col min="18" max="18" width="10.9140625" customWidth="1"/>
    <col min="20" max="20" width="9.08203125" customWidth="1"/>
  </cols>
  <sheetData>
    <row r="1" spans="1:10" x14ac:dyDescent="0.45">
      <c r="B1" s="2">
        <v>1</v>
      </c>
      <c r="C1" s="2">
        <v>2</v>
      </c>
      <c r="D1" s="2">
        <v>3</v>
      </c>
      <c r="E1" s="2">
        <v>4</v>
      </c>
    </row>
    <row r="2" spans="1:10" x14ac:dyDescent="0.45">
      <c r="A2" s="3">
        <v>2005</v>
      </c>
      <c r="B2">
        <v>255</v>
      </c>
      <c r="C2">
        <v>351</v>
      </c>
      <c r="D2">
        <v>425</v>
      </c>
      <c r="E2">
        <v>400</v>
      </c>
    </row>
    <row r="3" spans="1:10" x14ac:dyDescent="0.45">
      <c r="A3" s="3">
        <v>2006</v>
      </c>
      <c r="B3">
        <v>269</v>
      </c>
      <c r="C3">
        <v>310</v>
      </c>
      <c r="D3">
        <v>396</v>
      </c>
      <c r="E3">
        <v>410</v>
      </c>
    </row>
    <row r="4" spans="1:10" x14ac:dyDescent="0.45">
      <c r="A4" s="3">
        <v>2007</v>
      </c>
      <c r="B4">
        <v>291</v>
      </c>
      <c r="C4">
        <v>332</v>
      </c>
      <c r="D4">
        <v>358</v>
      </c>
      <c r="E4">
        <v>395</v>
      </c>
    </row>
    <row r="5" spans="1:10" x14ac:dyDescent="0.45">
      <c r="A5" s="3">
        <v>2008</v>
      </c>
      <c r="B5">
        <v>198</v>
      </c>
      <c r="C5">
        <v>289</v>
      </c>
      <c r="D5">
        <v>310</v>
      </c>
      <c r="E5">
        <v>357</v>
      </c>
    </row>
    <row r="6" spans="1:10" x14ac:dyDescent="0.45">
      <c r="A6" s="3">
        <v>2009</v>
      </c>
      <c r="B6">
        <v>200</v>
      </c>
      <c r="C6">
        <v>290</v>
      </c>
      <c r="D6">
        <v>331</v>
      </c>
      <c r="E6">
        <v>359</v>
      </c>
    </row>
    <row r="7" spans="1:10" x14ac:dyDescent="0.45">
      <c r="A7" s="3">
        <v>2010</v>
      </c>
      <c r="B7">
        <v>250</v>
      </c>
      <c r="C7">
        <v>300</v>
      </c>
      <c r="D7">
        <v>350</v>
      </c>
      <c r="E7">
        <v>400</v>
      </c>
    </row>
    <row r="9" spans="1:10" x14ac:dyDescent="0.45">
      <c r="A9" t="s">
        <v>0</v>
      </c>
    </row>
    <row r="10" spans="1:10" x14ac:dyDescent="0.45">
      <c r="B10" s="2">
        <v>1</v>
      </c>
      <c r="C10" s="2">
        <v>2</v>
      </c>
      <c r="D10" s="2">
        <v>3</v>
      </c>
      <c r="E10" s="2">
        <v>4</v>
      </c>
      <c r="F10" t="s">
        <v>1</v>
      </c>
      <c r="G10" t="s">
        <v>2</v>
      </c>
      <c r="I10" t="s">
        <v>3</v>
      </c>
      <c r="J10" t="s">
        <v>5</v>
      </c>
    </row>
    <row r="11" spans="1:10" x14ac:dyDescent="0.45">
      <c r="A11" s="3">
        <v>2005</v>
      </c>
      <c r="B11">
        <v>255</v>
      </c>
      <c r="C11">
        <v>351</v>
      </c>
      <c r="D11">
        <v>425</v>
      </c>
      <c r="E11">
        <v>400</v>
      </c>
      <c r="F11">
        <f>AVERAGE(B11:E11)</f>
        <v>357.75</v>
      </c>
      <c r="I11" t="s">
        <v>4</v>
      </c>
      <c r="J11" t="s">
        <v>6</v>
      </c>
    </row>
    <row r="12" spans="1:10" x14ac:dyDescent="0.45">
      <c r="A12" s="3">
        <v>2006</v>
      </c>
      <c r="B12">
        <v>269</v>
      </c>
      <c r="C12">
        <v>310</v>
      </c>
      <c r="D12">
        <v>396</v>
      </c>
      <c r="E12">
        <v>410</v>
      </c>
      <c r="F12">
        <f t="shared" ref="F12:F16" si="0">AVERAGE(B12:E12)</f>
        <v>346.25</v>
      </c>
      <c r="G12">
        <f>IF(F12&gt;F11,1,0)</f>
        <v>0</v>
      </c>
      <c r="J12" s="1" t="str">
        <f>IF(OR(J16&gt;J17,J16&lt;J18),"Reject H0","Accept H0")</f>
        <v>Accept H0</v>
      </c>
    </row>
    <row r="13" spans="1:10" x14ac:dyDescent="0.45">
      <c r="A13" s="3">
        <v>2007</v>
      </c>
      <c r="B13">
        <v>291</v>
      </c>
      <c r="C13">
        <v>332</v>
      </c>
      <c r="D13">
        <v>358</v>
      </c>
      <c r="E13">
        <v>395</v>
      </c>
      <c r="F13">
        <f t="shared" si="0"/>
        <v>344</v>
      </c>
      <c r="G13">
        <f t="shared" ref="G13:G16" si="1">IF(F13&gt;F12,1,0)</f>
        <v>0</v>
      </c>
      <c r="I13" t="s">
        <v>7</v>
      </c>
      <c r="J13">
        <f>SUM(G11:G16)</f>
        <v>2</v>
      </c>
    </row>
    <row r="14" spans="1:10" x14ac:dyDescent="0.45">
      <c r="A14" s="3">
        <v>2008</v>
      </c>
      <c r="B14">
        <v>198</v>
      </c>
      <c r="C14">
        <v>289</v>
      </c>
      <c r="D14">
        <v>310</v>
      </c>
      <c r="E14">
        <v>357</v>
      </c>
      <c r="F14">
        <f t="shared" si="0"/>
        <v>288.5</v>
      </c>
      <c r="G14">
        <f t="shared" si="1"/>
        <v>0</v>
      </c>
      <c r="I14" t="s">
        <v>8</v>
      </c>
      <c r="J14">
        <f>COUNT(A11:A16)/2</f>
        <v>3</v>
      </c>
    </row>
    <row r="15" spans="1:10" x14ac:dyDescent="0.45">
      <c r="A15" s="3">
        <v>2009</v>
      </c>
      <c r="B15">
        <v>200</v>
      </c>
      <c r="C15">
        <v>290</v>
      </c>
      <c r="D15">
        <v>331</v>
      </c>
      <c r="E15">
        <v>359</v>
      </c>
      <c r="F15">
        <f t="shared" si="0"/>
        <v>295</v>
      </c>
      <c r="G15">
        <f t="shared" si="1"/>
        <v>1</v>
      </c>
      <c r="I15" t="s">
        <v>9</v>
      </c>
      <c r="J15">
        <f>SQRT(COUNT(A11:A16)/4)</f>
        <v>1.2247448713915889</v>
      </c>
    </row>
    <row r="16" spans="1:10" x14ac:dyDescent="0.45">
      <c r="A16" s="3">
        <v>2010</v>
      </c>
      <c r="B16">
        <v>250</v>
      </c>
      <c r="C16">
        <v>300</v>
      </c>
      <c r="D16">
        <v>350</v>
      </c>
      <c r="E16">
        <v>400</v>
      </c>
      <c r="F16">
        <f t="shared" si="0"/>
        <v>325</v>
      </c>
      <c r="G16">
        <f t="shared" si="1"/>
        <v>1</v>
      </c>
      <c r="I16" t="s">
        <v>10</v>
      </c>
      <c r="J16">
        <f>(J13-J14)/J15</f>
        <v>-0.81649658092772615</v>
      </c>
    </row>
    <row r="17" spans="1:15" x14ac:dyDescent="0.45">
      <c r="I17" s="4" t="s">
        <v>12</v>
      </c>
      <c r="J17">
        <f>_xlfn.NORM.INV(0.975,0,1)</f>
        <v>1.9599639845400536</v>
      </c>
    </row>
    <row r="18" spans="1:15" x14ac:dyDescent="0.45">
      <c r="I18" s="4" t="s">
        <v>11</v>
      </c>
      <c r="J18">
        <f>_xlfn.NORM.INV(1-0.975,0,1)</f>
        <v>-1.9599639845400536</v>
      </c>
    </row>
    <row r="19" spans="1:15" x14ac:dyDescent="0.45">
      <c r="I19" s="4"/>
    </row>
    <row r="20" spans="1:15" x14ac:dyDescent="0.45">
      <c r="A20" t="s">
        <v>13</v>
      </c>
      <c r="B20" t="s">
        <v>14</v>
      </c>
      <c r="C20" t="s">
        <v>15</v>
      </c>
      <c r="D20" t="s">
        <v>16</v>
      </c>
      <c r="E20" t="s">
        <v>18</v>
      </c>
      <c r="F20" t="s">
        <v>17</v>
      </c>
      <c r="G20" t="s">
        <v>24</v>
      </c>
      <c r="H20" t="s">
        <v>38</v>
      </c>
      <c r="I20" t="s">
        <v>26</v>
      </c>
      <c r="K20" t="s">
        <v>19</v>
      </c>
      <c r="L20" s="4" t="s">
        <v>20</v>
      </c>
      <c r="M20">
        <f>E45/F45</f>
        <v>-0.67304347826086952</v>
      </c>
    </row>
    <row r="21" spans="1:15" x14ac:dyDescent="0.45">
      <c r="A21">
        <v>2005</v>
      </c>
      <c r="B21">
        <v>255</v>
      </c>
      <c r="C21">
        <v>1</v>
      </c>
      <c r="D21">
        <v>-23</v>
      </c>
      <c r="E21">
        <f t="shared" ref="E21:E44" si="2">D21*B21</f>
        <v>-5865</v>
      </c>
      <c r="F21">
        <f t="shared" ref="F21:F44" si="3">D21^2</f>
        <v>529</v>
      </c>
      <c r="G21">
        <f t="shared" ref="G21:G44" si="4">$M$21+($M$20*D21)</f>
        <v>341.56333333333333</v>
      </c>
      <c r="H21">
        <f t="shared" ref="H21:H44" si="5">B21/G21</f>
        <v>0.74656725448672279</v>
      </c>
      <c r="I21">
        <v>3</v>
      </c>
      <c r="K21" t="s">
        <v>22</v>
      </c>
      <c r="L21" s="4" t="s">
        <v>1</v>
      </c>
      <c r="M21">
        <f>B46</f>
        <v>326.08333333333331</v>
      </c>
    </row>
    <row r="22" spans="1:15" x14ac:dyDescent="0.45">
      <c r="B22">
        <v>351</v>
      </c>
      <c r="C22">
        <v>2</v>
      </c>
      <c r="D22">
        <v>-21</v>
      </c>
      <c r="E22">
        <f t="shared" si="2"/>
        <v>-7371</v>
      </c>
      <c r="F22">
        <f t="shared" si="3"/>
        <v>441</v>
      </c>
      <c r="G22">
        <f t="shared" si="4"/>
        <v>340.2172463768116</v>
      </c>
      <c r="H22">
        <f t="shared" si="5"/>
        <v>1.0316937302209712</v>
      </c>
      <c r="I22">
        <v>13</v>
      </c>
    </row>
    <row r="23" spans="1:15" x14ac:dyDescent="0.45">
      <c r="B23">
        <v>425</v>
      </c>
      <c r="C23">
        <v>3</v>
      </c>
      <c r="D23">
        <v>-19</v>
      </c>
      <c r="E23">
        <f t="shared" si="2"/>
        <v>-8075</v>
      </c>
      <c r="F23">
        <f t="shared" si="3"/>
        <v>361</v>
      </c>
      <c r="G23">
        <f t="shared" si="4"/>
        <v>338.87115942028981</v>
      </c>
      <c r="H23">
        <f t="shared" si="5"/>
        <v>1.2541639740810391</v>
      </c>
      <c r="I23">
        <v>23</v>
      </c>
      <c r="K23" t="s">
        <v>25</v>
      </c>
    </row>
    <row r="24" spans="1:15" x14ac:dyDescent="0.45">
      <c r="B24">
        <v>400</v>
      </c>
      <c r="C24">
        <v>4</v>
      </c>
      <c r="D24">
        <v>-17</v>
      </c>
      <c r="E24">
        <f t="shared" si="2"/>
        <v>-6800</v>
      </c>
      <c r="F24">
        <f t="shared" si="3"/>
        <v>289</v>
      </c>
      <c r="G24">
        <f t="shared" si="4"/>
        <v>337.52507246376808</v>
      </c>
      <c r="H24">
        <f t="shared" si="5"/>
        <v>1.1850971457622259</v>
      </c>
      <c r="I24">
        <v>19</v>
      </c>
      <c r="L24" s="2">
        <v>1</v>
      </c>
      <c r="M24" s="2">
        <v>2</v>
      </c>
      <c r="N24" s="2">
        <v>3</v>
      </c>
      <c r="O24" s="2">
        <v>4</v>
      </c>
    </row>
    <row r="25" spans="1:15" x14ac:dyDescent="0.45">
      <c r="A25">
        <v>2006</v>
      </c>
      <c r="B25">
        <v>269</v>
      </c>
      <c r="C25">
        <v>5</v>
      </c>
      <c r="D25">
        <v>-15</v>
      </c>
      <c r="E25">
        <f t="shared" si="2"/>
        <v>-4035</v>
      </c>
      <c r="F25">
        <f t="shared" si="3"/>
        <v>225</v>
      </c>
      <c r="G25">
        <f t="shared" si="4"/>
        <v>336.17898550724635</v>
      </c>
      <c r="H25">
        <f t="shared" si="5"/>
        <v>0.80016899210436132</v>
      </c>
      <c r="I25">
        <v>5</v>
      </c>
      <c r="K25" s="3">
        <v>2005</v>
      </c>
      <c r="L25">
        <v>3</v>
      </c>
      <c r="M25">
        <v>13</v>
      </c>
      <c r="N25">
        <v>23</v>
      </c>
      <c r="O25">
        <v>19</v>
      </c>
    </row>
    <row r="26" spans="1:15" x14ac:dyDescent="0.45">
      <c r="B26">
        <v>310</v>
      </c>
      <c r="C26">
        <v>6</v>
      </c>
      <c r="D26">
        <v>-13</v>
      </c>
      <c r="E26">
        <f t="shared" si="2"/>
        <v>-4030</v>
      </c>
      <c r="F26">
        <f t="shared" si="3"/>
        <v>169</v>
      </c>
      <c r="G26">
        <f t="shared" si="4"/>
        <v>334.83289855072462</v>
      </c>
      <c r="H26">
        <f t="shared" si="5"/>
        <v>0.92583495033430052</v>
      </c>
      <c r="I26">
        <v>9</v>
      </c>
      <c r="K26" s="3">
        <v>2006</v>
      </c>
      <c r="L26">
        <v>5</v>
      </c>
      <c r="M26">
        <v>9</v>
      </c>
      <c r="N26">
        <v>20</v>
      </c>
      <c r="O26">
        <v>22</v>
      </c>
    </row>
    <row r="27" spans="1:15" x14ac:dyDescent="0.45">
      <c r="B27">
        <v>396</v>
      </c>
      <c r="C27">
        <v>7</v>
      </c>
      <c r="D27">
        <v>-11</v>
      </c>
      <c r="E27">
        <f t="shared" si="2"/>
        <v>-4356</v>
      </c>
      <c r="F27">
        <f t="shared" si="3"/>
        <v>121</v>
      </c>
      <c r="G27">
        <f t="shared" si="4"/>
        <v>333.48681159420289</v>
      </c>
      <c r="H27">
        <f t="shared" si="5"/>
        <v>1.1874532552185755</v>
      </c>
      <c r="I27">
        <v>20</v>
      </c>
      <c r="K27" s="3">
        <v>2007</v>
      </c>
      <c r="L27">
        <v>6</v>
      </c>
      <c r="M27">
        <v>12</v>
      </c>
      <c r="N27">
        <v>15</v>
      </c>
      <c r="O27">
        <v>21</v>
      </c>
    </row>
    <row r="28" spans="1:15" x14ac:dyDescent="0.45">
      <c r="B28">
        <v>410</v>
      </c>
      <c r="C28">
        <v>8</v>
      </c>
      <c r="D28">
        <v>-9</v>
      </c>
      <c r="E28">
        <f t="shared" si="2"/>
        <v>-3690</v>
      </c>
      <c r="F28">
        <f t="shared" si="3"/>
        <v>81</v>
      </c>
      <c r="G28">
        <f t="shared" si="4"/>
        <v>332.14072463768116</v>
      </c>
      <c r="H28">
        <f t="shared" si="5"/>
        <v>1.2344165276548136</v>
      </c>
      <c r="I28">
        <v>22</v>
      </c>
      <c r="K28" s="3">
        <v>2008</v>
      </c>
      <c r="L28">
        <v>1</v>
      </c>
      <c r="M28">
        <v>7</v>
      </c>
      <c r="N28">
        <v>11</v>
      </c>
      <c r="O28">
        <v>16</v>
      </c>
    </row>
    <row r="29" spans="1:15" x14ac:dyDescent="0.45">
      <c r="A29">
        <v>2007</v>
      </c>
      <c r="B29">
        <v>291</v>
      </c>
      <c r="C29">
        <v>9</v>
      </c>
      <c r="D29">
        <v>-7</v>
      </c>
      <c r="E29">
        <f t="shared" si="2"/>
        <v>-2037</v>
      </c>
      <c r="F29">
        <f t="shared" si="3"/>
        <v>49</v>
      </c>
      <c r="G29">
        <f t="shared" si="4"/>
        <v>330.79463768115943</v>
      </c>
      <c r="H29">
        <f t="shared" si="5"/>
        <v>0.87969987071097566</v>
      </c>
      <c r="I29">
        <v>6</v>
      </c>
      <c r="K29" s="3">
        <v>2009</v>
      </c>
      <c r="L29">
        <v>2</v>
      </c>
      <c r="M29">
        <v>8</v>
      </c>
      <c r="N29">
        <v>14</v>
      </c>
      <c r="O29">
        <v>18</v>
      </c>
    </row>
    <row r="30" spans="1:15" x14ac:dyDescent="0.45">
      <c r="B30">
        <v>332</v>
      </c>
      <c r="C30">
        <v>10</v>
      </c>
      <c r="D30">
        <v>-5</v>
      </c>
      <c r="E30">
        <f t="shared" si="2"/>
        <v>-1660</v>
      </c>
      <c r="F30">
        <f t="shared" si="3"/>
        <v>25</v>
      </c>
      <c r="G30">
        <f t="shared" si="4"/>
        <v>329.44855072463764</v>
      </c>
      <c r="H30">
        <f t="shared" si="5"/>
        <v>1.0077446061600523</v>
      </c>
      <c r="I30">
        <v>12</v>
      </c>
      <c r="K30" s="3">
        <v>2010</v>
      </c>
      <c r="L30">
        <v>4</v>
      </c>
      <c r="M30">
        <v>10</v>
      </c>
      <c r="N30">
        <v>17</v>
      </c>
      <c r="O30">
        <v>24</v>
      </c>
    </row>
    <row r="31" spans="1:15" x14ac:dyDescent="0.45">
      <c r="B31">
        <v>358</v>
      </c>
      <c r="C31">
        <v>11</v>
      </c>
      <c r="D31">
        <v>-3</v>
      </c>
      <c r="E31">
        <f t="shared" si="2"/>
        <v>-1074</v>
      </c>
      <c r="F31">
        <f t="shared" si="3"/>
        <v>9</v>
      </c>
      <c r="G31">
        <f t="shared" si="4"/>
        <v>328.10246376811591</v>
      </c>
      <c r="H31">
        <f t="shared" si="5"/>
        <v>1.0911225593630836</v>
      </c>
      <c r="I31">
        <v>15</v>
      </c>
      <c r="K31" t="s">
        <v>27</v>
      </c>
      <c r="L31">
        <f>SUM(L25:L30)</f>
        <v>21</v>
      </c>
      <c r="M31">
        <f t="shared" ref="M31:O31" si="6">SUM(M25:M30)</f>
        <v>59</v>
      </c>
      <c r="N31">
        <f t="shared" si="6"/>
        <v>100</v>
      </c>
      <c r="O31">
        <f t="shared" si="6"/>
        <v>120</v>
      </c>
    </row>
    <row r="32" spans="1:15" x14ac:dyDescent="0.45">
      <c r="B32" s="5">
        <v>395</v>
      </c>
      <c r="C32">
        <v>12</v>
      </c>
      <c r="D32">
        <v>-1</v>
      </c>
      <c r="E32">
        <f t="shared" si="2"/>
        <v>-395</v>
      </c>
      <c r="F32">
        <f t="shared" si="3"/>
        <v>1</v>
      </c>
      <c r="G32">
        <f t="shared" si="4"/>
        <v>326.75637681159418</v>
      </c>
      <c r="H32">
        <f t="shared" si="5"/>
        <v>1.2088516951201069</v>
      </c>
      <c r="I32">
        <v>21</v>
      </c>
      <c r="K32" t="s">
        <v>28</v>
      </c>
      <c r="L32">
        <f>L31^2</f>
        <v>441</v>
      </c>
      <c r="M32">
        <f t="shared" ref="M32:O32" si="7">M31^2</f>
        <v>3481</v>
      </c>
      <c r="N32">
        <f t="shared" si="7"/>
        <v>10000</v>
      </c>
      <c r="O32">
        <f t="shared" si="7"/>
        <v>14400</v>
      </c>
    </row>
    <row r="33" spans="1:15" x14ac:dyDescent="0.45">
      <c r="A33">
        <v>2008</v>
      </c>
      <c r="B33" s="5">
        <v>198</v>
      </c>
      <c r="C33">
        <v>13</v>
      </c>
      <c r="D33">
        <v>1</v>
      </c>
      <c r="E33">
        <f t="shared" si="2"/>
        <v>198</v>
      </c>
      <c r="F33">
        <f t="shared" si="3"/>
        <v>1</v>
      </c>
      <c r="G33">
        <f t="shared" si="4"/>
        <v>325.41028985507245</v>
      </c>
      <c r="H33">
        <f t="shared" si="5"/>
        <v>0.60846262755914382</v>
      </c>
      <c r="I33">
        <v>1</v>
      </c>
      <c r="K33" t="s">
        <v>29</v>
      </c>
      <c r="L33">
        <f>COUNT(L25:L30)</f>
        <v>6</v>
      </c>
      <c r="M33">
        <f t="shared" ref="M33:O33" si="8">COUNT(M25:M30)</f>
        <v>6</v>
      </c>
      <c r="N33">
        <f t="shared" si="8"/>
        <v>6</v>
      </c>
      <c r="O33">
        <f t="shared" si="8"/>
        <v>6</v>
      </c>
    </row>
    <row r="34" spans="1:15" x14ac:dyDescent="0.45">
      <c r="B34">
        <v>289</v>
      </c>
      <c r="C34">
        <v>14</v>
      </c>
      <c r="D34">
        <v>3</v>
      </c>
      <c r="E34">
        <f t="shared" si="2"/>
        <v>867</v>
      </c>
      <c r="F34">
        <f t="shared" si="3"/>
        <v>9</v>
      </c>
      <c r="G34">
        <f t="shared" si="4"/>
        <v>324.06420289855072</v>
      </c>
      <c r="H34">
        <f t="shared" si="5"/>
        <v>0.89179859242420656</v>
      </c>
      <c r="I34">
        <v>7</v>
      </c>
      <c r="K34" t="s">
        <v>30</v>
      </c>
      <c r="L34">
        <f>L32/L33</f>
        <v>73.5</v>
      </c>
      <c r="M34">
        <f t="shared" ref="M34:O34" si="9">M32/M33</f>
        <v>580.16666666666663</v>
      </c>
      <c r="N34">
        <f t="shared" si="9"/>
        <v>1666.6666666666667</v>
      </c>
      <c r="O34">
        <f t="shared" si="9"/>
        <v>2400</v>
      </c>
    </row>
    <row r="35" spans="1:15" x14ac:dyDescent="0.45">
      <c r="B35">
        <v>310</v>
      </c>
      <c r="C35">
        <v>15</v>
      </c>
      <c r="D35">
        <v>5</v>
      </c>
      <c r="E35">
        <f t="shared" si="2"/>
        <v>1550</v>
      </c>
      <c r="F35">
        <f t="shared" si="3"/>
        <v>25</v>
      </c>
      <c r="G35">
        <f t="shared" si="4"/>
        <v>322.71811594202899</v>
      </c>
      <c r="H35">
        <f t="shared" si="5"/>
        <v>0.96059063525174526</v>
      </c>
      <c r="I35">
        <v>11</v>
      </c>
      <c r="K35" t="s">
        <v>33</v>
      </c>
      <c r="L35">
        <f>COUNT(C21:C44)</f>
        <v>24</v>
      </c>
    </row>
    <row r="36" spans="1:15" x14ac:dyDescent="0.45">
      <c r="B36">
        <v>357</v>
      </c>
      <c r="C36">
        <v>16</v>
      </c>
      <c r="D36">
        <v>7</v>
      </c>
      <c r="E36">
        <f t="shared" si="2"/>
        <v>2499</v>
      </c>
      <c r="F36">
        <f t="shared" si="3"/>
        <v>49</v>
      </c>
      <c r="G36">
        <f t="shared" si="4"/>
        <v>321.3720289855072</v>
      </c>
      <c r="H36">
        <f t="shared" si="5"/>
        <v>1.1108620782180751</v>
      </c>
      <c r="I36">
        <v>16</v>
      </c>
      <c r="K36" t="s">
        <v>31</v>
      </c>
      <c r="L36">
        <f>SUM(L34:O34)</f>
        <v>4720.3333333333339</v>
      </c>
    </row>
    <row r="37" spans="1:15" x14ac:dyDescent="0.45">
      <c r="A37">
        <v>2009</v>
      </c>
      <c r="B37">
        <v>200</v>
      </c>
      <c r="C37">
        <v>17</v>
      </c>
      <c r="D37">
        <v>9</v>
      </c>
      <c r="E37">
        <f t="shared" si="2"/>
        <v>1800</v>
      </c>
      <c r="F37">
        <f t="shared" si="3"/>
        <v>81</v>
      </c>
      <c r="G37">
        <f t="shared" si="4"/>
        <v>320.02594202898547</v>
      </c>
      <c r="H37">
        <f t="shared" si="5"/>
        <v>0.62494933608190284</v>
      </c>
      <c r="I37">
        <v>2</v>
      </c>
      <c r="K37" t="s">
        <v>32</v>
      </c>
      <c r="L37">
        <f>((12/(L35*(L35+1)))*(L36))-(3*(L35+1))</f>
        <v>19.40666666666668</v>
      </c>
    </row>
    <row r="38" spans="1:15" x14ac:dyDescent="0.45">
      <c r="B38">
        <v>290</v>
      </c>
      <c r="C38">
        <v>18</v>
      </c>
      <c r="D38">
        <v>11</v>
      </c>
      <c r="E38">
        <f t="shared" si="2"/>
        <v>3190</v>
      </c>
      <c r="F38">
        <f t="shared" si="3"/>
        <v>121</v>
      </c>
      <c r="G38">
        <f t="shared" si="4"/>
        <v>318.67985507246374</v>
      </c>
      <c r="H38">
        <f t="shared" si="5"/>
        <v>0.91000417937951461</v>
      </c>
      <c r="I38">
        <v>8</v>
      </c>
      <c r="K38" t="s">
        <v>35</v>
      </c>
      <c r="L38">
        <f>COUNT(L24:O24)</f>
        <v>4</v>
      </c>
    </row>
    <row r="39" spans="1:15" x14ac:dyDescent="0.45">
      <c r="B39">
        <v>331</v>
      </c>
      <c r="C39">
        <v>19</v>
      </c>
      <c r="D39">
        <v>13</v>
      </c>
      <c r="E39">
        <f t="shared" si="2"/>
        <v>4303</v>
      </c>
      <c r="F39">
        <f t="shared" si="3"/>
        <v>169</v>
      </c>
      <c r="G39">
        <f t="shared" si="4"/>
        <v>317.33376811594201</v>
      </c>
      <c r="H39">
        <f t="shared" si="5"/>
        <v>1.0430657977724729</v>
      </c>
      <c r="I39">
        <v>14</v>
      </c>
      <c r="K39" t="s">
        <v>34</v>
      </c>
      <c r="L39">
        <f>_xlfn.CHISQ.INV(0.95,3)</f>
        <v>7.8147279032511774</v>
      </c>
    </row>
    <row r="40" spans="1:15" x14ac:dyDescent="0.45">
      <c r="B40">
        <v>359</v>
      </c>
      <c r="C40">
        <v>20</v>
      </c>
      <c r="D40">
        <v>15</v>
      </c>
      <c r="E40">
        <f t="shared" si="2"/>
        <v>5385</v>
      </c>
      <c r="F40">
        <f t="shared" si="3"/>
        <v>225</v>
      </c>
      <c r="G40">
        <f t="shared" si="4"/>
        <v>315.98768115942028</v>
      </c>
      <c r="H40">
        <f t="shared" si="5"/>
        <v>1.1361202395066767</v>
      </c>
      <c r="I40">
        <v>18</v>
      </c>
    </row>
    <row r="41" spans="1:15" x14ac:dyDescent="0.45">
      <c r="A41">
        <v>2010</v>
      </c>
      <c r="B41">
        <v>250</v>
      </c>
      <c r="C41">
        <v>21</v>
      </c>
      <c r="D41">
        <v>17</v>
      </c>
      <c r="E41">
        <f t="shared" si="2"/>
        <v>4250</v>
      </c>
      <c r="F41">
        <f t="shared" si="3"/>
        <v>289</v>
      </c>
      <c r="G41">
        <f t="shared" si="4"/>
        <v>314.64159420289855</v>
      </c>
      <c r="H41">
        <f t="shared" si="5"/>
        <v>0.79455483510799263</v>
      </c>
      <c r="I41">
        <v>4</v>
      </c>
      <c r="K41" t="s">
        <v>3</v>
      </c>
      <c r="L41" t="s">
        <v>36</v>
      </c>
    </row>
    <row r="42" spans="1:15" x14ac:dyDescent="0.45">
      <c r="B42">
        <v>300</v>
      </c>
      <c r="C42">
        <v>22</v>
      </c>
      <c r="D42">
        <v>19</v>
      </c>
      <c r="E42">
        <f t="shared" si="2"/>
        <v>5700</v>
      </c>
      <c r="F42">
        <f t="shared" si="3"/>
        <v>361</v>
      </c>
      <c r="G42">
        <f t="shared" si="4"/>
        <v>313.29550724637681</v>
      </c>
      <c r="H42">
        <f t="shared" si="5"/>
        <v>0.95756240693256678</v>
      </c>
      <c r="I42">
        <v>10</v>
      </c>
      <c r="K42" t="s">
        <v>4</v>
      </c>
      <c r="L42" t="s">
        <v>37</v>
      </c>
    </row>
    <row r="43" spans="1:15" x14ac:dyDescent="0.45">
      <c r="B43">
        <v>350</v>
      </c>
      <c r="C43">
        <v>23</v>
      </c>
      <c r="D43">
        <v>21</v>
      </c>
      <c r="E43">
        <f t="shared" si="2"/>
        <v>7350</v>
      </c>
      <c r="F43">
        <f t="shared" si="3"/>
        <v>441</v>
      </c>
      <c r="G43">
        <f t="shared" si="4"/>
        <v>311.94942028985503</v>
      </c>
      <c r="H43">
        <f t="shared" si="5"/>
        <v>1.1219767604465793</v>
      </c>
      <c r="I43">
        <v>17</v>
      </c>
      <c r="L43" s="1" t="str">
        <f>IF(L37&gt;L39,"Reject H0", "Accept H0")</f>
        <v>Reject H0</v>
      </c>
    </row>
    <row r="44" spans="1:15" x14ac:dyDescent="0.45">
      <c r="B44">
        <v>400</v>
      </c>
      <c r="C44">
        <v>24</v>
      </c>
      <c r="D44">
        <v>23</v>
      </c>
      <c r="E44">
        <f t="shared" si="2"/>
        <v>9200</v>
      </c>
      <c r="F44">
        <f t="shared" si="3"/>
        <v>529</v>
      </c>
      <c r="G44">
        <f t="shared" si="4"/>
        <v>310.6033333333333</v>
      </c>
      <c r="H44">
        <f t="shared" si="5"/>
        <v>1.2878161857030941</v>
      </c>
      <c r="I44">
        <v>24</v>
      </c>
    </row>
    <row r="45" spans="1:15" x14ac:dyDescent="0.45">
      <c r="A45" t="s">
        <v>21</v>
      </c>
      <c r="D45">
        <f>SUM(D21:D44)</f>
        <v>0</v>
      </c>
      <c r="E45">
        <f>SUM(E21:E44)</f>
        <v>-3096</v>
      </c>
      <c r="F45">
        <f>SUM(F21:F44)</f>
        <v>4600</v>
      </c>
    </row>
    <row r="46" spans="1:15" x14ac:dyDescent="0.45">
      <c r="A46" t="s">
        <v>23</v>
      </c>
      <c r="B46">
        <f>AVERAGE(B21:B44)</f>
        <v>326.08333333333331</v>
      </c>
    </row>
    <row r="49" spans="1:13" x14ac:dyDescent="0.45">
      <c r="A49" t="s">
        <v>39</v>
      </c>
      <c r="B49" t="s">
        <v>43</v>
      </c>
      <c r="L49" t="s">
        <v>45</v>
      </c>
    </row>
    <row r="50" spans="1:13" x14ac:dyDescent="0.45">
      <c r="B50" t="s">
        <v>40</v>
      </c>
      <c r="D50" s="3">
        <v>2005</v>
      </c>
      <c r="E50" s="3">
        <v>2006</v>
      </c>
      <c r="F50" s="3">
        <v>2007</v>
      </c>
      <c r="G50" s="3">
        <v>2008</v>
      </c>
      <c r="H50" s="3">
        <v>2009</v>
      </c>
      <c r="I50" s="3">
        <v>2010</v>
      </c>
      <c r="J50" t="s">
        <v>42</v>
      </c>
      <c r="K50" t="s">
        <v>41</v>
      </c>
      <c r="L50" s="6" t="s">
        <v>44</v>
      </c>
    </row>
    <row r="51" spans="1:13" x14ac:dyDescent="0.45">
      <c r="C51" s="2">
        <v>1</v>
      </c>
      <c r="D51">
        <v>255</v>
      </c>
      <c r="E51">
        <v>269</v>
      </c>
      <c r="F51">
        <v>291</v>
      </c>
      <c r="G51">
        <v>198</v>
      </c>
      <c r="H51">
        <v>200</v>
      </c>
      <c r="I51">
        <v>250</v>
      </c>
      <c r="J51">
        <f>AVERAGE(D51:I51)</f>
        <v>243.83333333333334</v>
      </c>
      <c r="K51">
        <f>J51/$J$55</f>
        <v>0.74776386404293393</v>
      </c>
      <c r="L51" s="6">
        <f>$J$55*K51</f>
        <v>243.83333333333337</v>
      </c>
    </row>
    <row r="52" spans="1:13" x14ac:dyDescent="0.45">
      <c r="C52" s="2">
        <v>2</v>
      </c>
      <c r="D52">
        <v>351</v>
      </c>
      <c r="E52">
        <v>310</v>
      </c>
      <c r="F52">
        <v>332</v>
      </c>
      <c r="G52">
        <v>289</v>
      </c>
      <c r="H52">
        <v>290</v>
      </c>
      <c r="I52">
        <v>300</v>
      </c>
      <c r="J52">
        <f t="shared" ref="J52:J54" si="10">AVERAGE(D52:I52)</f>
        <v>312</v>
      </c>
      <c r="K52">
        <f>J52/$J$55</f>
        <v>0.95681063122923593</v>
      </c>
      <c r="L52" s="6">
        <f>$J$55*K52</f>
        <v>312</v>
      </c>
    </row>
    <row r="53" spans="1:13" x14ac:dyDescent="0.45">
      <c r="C53" s="2">
        <v>3</v>
      </c>
      <c r="D53">
        <v>425</v>
      </c>
      <c r="E53">
        <v>396</v>
      </c>
      <c r="F53">
        <v>358</v>
      </c>
      <c r="G53">
        <v>310</v>
      </c>
      <c r="H53">
        <v>331</v>
      </c>
      <c r="I53">
        <v>350</v>
      </c>
      <c r="J53">
        <f t="shared" si="10"/>
        <v>361.66666666666669</v>
      </c>
      <c r="K53">
        <f>J53/$J$55</f>
        <v>1.1091234347048302</v>
      </c>
      <c r="L53" s="6">
        <f>$J$55*K53</f>
        <v>361.66666666666669</v>
      </c>
    </row>
    <row r="54" spans="1:13" x14ac:dyDescent="0.45">
      <c r="C54" s="2">
        <v>4</v>
      </c>
      <c r="D54">
        <v>400</v>
      </c>
      <c r="E54">
        <v>410</v>
      </c>
      <c r="F54">
        <v>395</v>
      </c>
      <c r="G54">
        <v>357</v>
      </c>
      <c r="H54">
        <v>359</v>
      </c>
      <c r="I54">
        <v>400</v>
      </c>
      <c r="J54">
        <f t="shared" si="10"/>
        <v>386.83333333333331</v>
      </c>
      <c r="K54">
        <f>J54/$J$55</f>
        <v>1.1863020700230003</v>
      </c>
      <c r="L54" s="6">
        <f>$J$55*K54</f>
        <v>386.83333333333331</v>
      </c>
    </row>
    <row r="55" spans="1:13" x14ac:dyDescent="0.45">
      <c r="C55" t="s">
        <v>23</v>
      </c>
      <c r="D55">
        <f>AVERAGE(D51:D54)</f>
        <v>357.75</v>
      </c>
      <c r="E55">
        <f t="shared" ref="E55:I55" si="11">AVERAGE(E51:E54)</f>
        <v>346.25</v>
      </c>
      <c r="F55">
        <f t="shared" si="11"/>
        <v>344</v>
      </c>
      <c r="G55">
        <f t="shared" si="11"/>
        <v>288.5</v>
      </c>
      <c r="H55">
        <f t="shared" si="11"/>
        <v>295</v>
      </c>
      <c r="I55">
        <f t="shared" si="11"/>
        <v>325</v>
      </c>
      <c r="J55">
        <f>AVERAGE(D55:I55)</f>
        <v>326.08333333333331</v>
      </c>
    </row>
    <row r="56" spans="1:13" x14ac:dyDescent="0.45">
      <c r="C56" t="s">
        <v>21</v>
      </c>
      <c r="K56">
        <f>SUM(K51:K54)</f>
        <v>4</v>
      </c>
    </row>
    <row r="60" spans="1:13" x14ac:dyDescent="0.45">
      <c r="H60" t="s">
        <v>82</v>
      </c>
      <c r="I60" t="s">
        <v>83</v>
      </c>
      <c r="J60" t="s">
        <v>84</v>
      </c>
    </row>
    <row r="61" spans="1:13" x14ac:dyDescent="0.45">
      <c r="B61" t="s">
        <v>14</v>
      </c>
      <c r="C61" t="s">
        <v>55</v>
      </c>
      <c r="D61" t="s">
        <v>46</v>
      </c>
      <c r="E61" t="s">
        <v>47</v>
      </c>
      <c r="F61" t="s">
        <v>48</v>
      </c>
      <c r="G61" t="s">
        <v>70</v>
      </c>
      <c r="H61" t="s">
        <v>72</v>
      </c>
      <c r="I61" t="s">
        <v>73</v>
      </c>
      <c r="J61" t="s">
        <v>85</v>
      </c>
      <c r="L61" t="s">
        <v>49</v>
      </c>
      <c r="M61" t="s">
        <v>50</v>
      </c>
    </row>
    <row r="62" spans="1:13" x14ac:dyDescent="0.45">
      <c r="A62">
        <v>2005</v>
      </c>
      <c r="B62">
        <v>255</v>
      </c>
      <c r="C62">
        <v>1</v>
      </c>
      <c r="D62">
        <v>0</v>
      </c>
      <c r="E62">
        <v>0</v>
      </c>
      <c r="F62">
        <v>0</v>
      </c>
      <c r="G62">
        <f t="shared" ref="G62:G85" si="12">$P$82+($P$83*D62)+($P$84*E62)+($P$85*F62)</f>
        <v>243.83333333333331</v>
      </c>
      <c r="H62">
        <f>(B62-G62)^2</f>
        <v>124.69444444444487</v>
      </c>
      <c r="I62">
        <f>(B62-AVERAGE($B$62:$B$85))^2</f>
        <v>5052.8402777777746</v>
      </c>
      <c r="J62">
        <f>(G62-AVERAGE($G$62:$G$85))^2</f>
        <v>6765.0625</v>
      </c>
      <c r="L62">
        <v>1</v>
      </c>
      <c r="M62" t="s">
        <v>51</v>
      </c>
    </row>
    <row r="63" spans="1:13" x14ac:dyDescent="0.45">
      <c r="B63">
        <v>351</v>
      </c>
      <c r="C63">
        <v>1</v>
      </c>
      <c r="D63">
        <v>1</v>
      </c>
      <c r="E63">
        <v>0</v>
      </c>
      <c r="F63">
        <v>0</v>
      </c>
      <c r="G63">
        <f t="shared" si="12"/>
        <v>312</v>
      </c>
      <c r="H63">
        <f t="shared" ref="H63:H85" si="13">(B63-G63)^2</f>
        <v>1521</v>
      </c>
      <c r="I63">
        <f t="shared" ref="I63:I85" si="14">(B63-AVERAGE($B$62:$B$85))^2</f>
        <v>620.84027777777874</v>
      </c>
      <c r="J63">
        <f t="shared" ref="J63:J85" si="15">(G63-AVERAGE($G$62:$G$85))^2</f>
        <v>198.34027777777723</v>
      </c>
      <c r="L63">
        <v>2</v>
      </c>
      <c r="M63" t="s">
        <v>52</v>
      </c>
    </row>
    <row r="64" spans="1:13" x14ac:dyDescent="0.45">
      <c r="B64">
        <v>425</v>
      </c>
      <c r="C64">
        <v>1</v>
      </c>
      <c r="D64">
        <v>0</v>
      </c>
      <c r="E64">
        <v>1</v>
      </c>
      <c r="F64">
        <v>0</v>
      </c>
      <c r="G64">
        <f t="shared" si="12"/>
        <v>361.66666666666663</v>
      </c>
      <c r="H64">
        <f t="shared" si="13"/>
        <v>4011.1111111111159</v>
      </c>
      <c r="I64">
        <f t="shared" si="14"/>
        <v>9784.5069444444489</v>
      </c>
      <c r="J64">
        <f t="shared" si="15"/>
        <v>1266.1736111111097</v>
      </c>
      <c r="L64">
        <v>3</v>
      </c>
      <c r="M64" t="s">
        <v>53</v>
      </c>
    </row>
    <row r="65" spans="1:36" x14ac:dyDescent="0.45">
      <c r="B65">
        <v>400</v>
      </c>
      <c r="C65">
        <v>1</v>
      </c>
      <c r="D65">
        <v>0</v>
      </c>
      <c r="E65">
        <v>0</v>
      </c>
      <c r="F65">
        <v>1</v>
      </c>
      <c r="G65">
        <f t="shared" si="12"/>
        <v>386.83333333333331</v>
      </c>
      <c r="H65">
        <f t="shared" si="13"/>
        <v>173.3611111111116</v>
      </c>
      <c r="I65">
        <f t="shared" si="14"/>
        <v>5463.673611111114</v>
      </c>
      <c r="J65">
        <f t="shared" si="15"/>
        <v>3690.5625</v>
      </c>
      <c r="L65">
        <v>4</v>
      </c>
      <c r="M65" t="s">
        <v>54</v>
      </c>
    </row>
    <row r="66" spans="1:36" x14ac:dyDescent="0.45">
      <c r="A66">
        <v>2006</v>
      </c>
      <c r="B66">
        <v>269</v>
      </c>
      <c r="C66">
        <v>1</v>
      </c>
      <c r="D66">
        <v>0</v>
      </c>
      <c r="E66">
        <v>0</v>
      </c>
      <c r="F66">
        <v>0</v>
      </c>
      <c r="G66">
        <f t="shared" si="12"/>
        <v>243.83333333333331</v>
      </c>
      <c r="H66">
        <f t="shared" si="13"/>
        <v>633.36111111111211</v>
      </c>
      <c r="I66">
        <f t="shared" si="14"/>
        <v>3258.5069444444421</v>
      </c>
      <c r="J66">
        <f t="shared" si="15"/>
        <v>6765.0625</v>
      </c>
    </row>
    <row r="67" spans="1:36" x14ac:dyDescent="0.45">
      <c r="B67">
        <v>310</v>
      </c>
      <c r="C67">
        <v>1</v>
      </c>
      <c r="D67">
        <v>1</v>
      </c>
      <c r="E67">
        <v>0</v>
      </c>
      <c r="F67">
        <v>0</v>
      </c>
      <c r="G67">
        <f t="shared" si="12"/>
        <v>312</v>
      </c>
      <c r="H67">
        <f t="shared" si="13"/>
        <v>4</v>
      </c>
      <c r="I67">
        <f t="shared" si="14"/>
        <v>258.67361111111052</v>
      </c>
      <c r="J67">
        <f t="shared" si="15"/>
        <v>198.34027777777723</v>
      </c>
      <c r="L67" t="s">
        <v>56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</row>
    <row r="68" spans="1:36" x14ac:dyDescent="0.45">
      <c r="B68">
        <v>396</v>
      </c>
      <c r="C68">
        <v>1</v>
      </c>
      <c r="D68">
        <v>0</v>
      </c>
      <c r="E68">
        <v>1</v>
      </c>
      <c r="F68">
        <v>0</v>
      </c>
      <c r="G68">
        <f t="shared" si="12"/>
        <v>361.66666666666663</v>
      </c>
      <c r="H68">
        <f t="shared" si="13"/>
        <v>1178.7777777777803</v>
      </c>
      <c r="I68">
        <f t="shared" si="14"/>
        <v>4888.3402777777801</v>
      </c>
      <c r="J68">
        <f t="shared" si="15"/>
        <v>1266.1736111111097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</row>
    <row r="69" spans="1:36" x14ac:dyDescent="0.45">
      <c r="B69">
        <v>410</v>
      </c>
      <c r="C69">
        <v>1</v>
      </c>
      <c r="D69">
        <v>0</v>
      </c>
      <c r="E69">
        <v>0</v>
      </c>
      <c r="F69">
        <v>1</v>
      </c>
      <c r="G69">
        <f t="shared" si="12"/>
        <v>386.83333333333331</v>
      </c>
      <c r="H69">
        <f t="shared" si="13"/>
        <v>536.69444444444537</v>
      </c>
      <c r="I69">
        <f t="shared" si="14"/>
        <v>7042.006944444448</v>
      </c>
      <c r="J69">
        <f t="shared" si="15"/>
        <v>3690.5625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1</v>
      </c>
      <c r="AJ69">
        <v>0</v>
      </c>
    </row>
    <row r="70" spans="1:36" x14ac:dyDescent="0.45">
      <c r="A70">
        <v>2007</v>
      </c>
      <c r="B70">
        <v>291</v>
      </c>
      <c r="C70">
        <v>1</v>
      </c>
      <c r="D70">
        <v>0</v>
      </c>
      <c r="E70">
        <v>0</v>
      </c>
      <c r="F70">
        <v>0</v>
      </c>
      <c r="G70">
        <f t="shared" si="12"/>
        <v>243.83333333333331</v>
      </c>
      <c r="H70">
        <f t="shared" si="13"/>
        <v>2224.6944444444462</v>
      </c>
      <c r="I70">
        <f t="shared" si="14"/>
        <v>1230.8402777777765</v>
      </c>
      <c r="J70">
        <f t="shared" si="15"/>
        <v>6765.0625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1</v>
      </c>
    </row>
    <row r="71" spans="1:36" x14ac:dyDescent="0.45">
      <c r="B71">
        <v>332</v>
      </c>
      <c r="C71">
        <v>1</v>
      </c>
      <c r="D71">
        <v>1</v>
      </c>
      <c r="E71">
        <v>0</v>
      </c>
      <c r="F71">
        <v>0</v>
      </c>
      <c r="G71">
        <f t="shared" si="12"/>
        <v>312</v>
      </c>
      <c r="H71">
        <f t="shared" si="13"/>
        <v>400</v>
      </c>
      <c r="I71">
        <f t="shared" si="14"/>
        <v>35.00694444444467</v>
      </c>
      <c r="J71">
        <f t="shared" si="15"/>
        <v>198.34027777777723</v>
      </c>
    </row>
    <row r="72" spans="1:36" x14ac:dyDescent="0.45">
      <c r="B72">
        <v>358</v>
      </c>
      <c r="C72">
        <v>1</v>
      </c>
      <c r="D72">
        <v>0</v>
      </c>
      <c r="E72">
        <v>1</v>
      </c>
      <c r="F72">
        <v>0</v>
      </c>
      <c r="G72">
        <f t="shared" si="12"/>
        <v>361.66666666666663</v>
      </c>
      <c r="H72">
        <f t="shared" si="13"/>
        <v>13.444444444444166</v>
      </c>
      <c r="I72">
        <f t="shared" si="14"/>
        <v>1018.6736111111123</v>
      </c>
      <c r="J72">
        <f t="shared" si="15"/>
        <v>1266.1736111111097</v>
      </c>
      <c r="L72" t="s">
        <v>57</v>
      </c>
      <c r="M72" cm="1">
        <f t="array" ref="M72:P75">MMULT(M67:AJ70,C62:F85)</f>
        <v>24</v>
      </c>
      <c r="N72">
        <v>6</v>
      </c>
      <c r="O72">
        <v>6</v>
      </c>
      <c r="P72">
        <v>6</v>
      </c>
    </row>
    <row r="73" spans="1:36" x14ac:dyDescent="0.45">
      <c r="B73" s="5">
        <v>395</v>
      </c>
      <c r="C73">
        <v>1</v>
      </c>
      <c r="D73">
        <v>0</v>
      </c>
      <c r="E73">
        <v>0</v>
      </c>
      <c r="F73">
        <v>1</v>
      </c>
      <c r="G73">
        <f t="shared" si="12"/>
        <v>386.83333333333331</v>
      </c>
      <c r="H73">
        <f t="shared" si="13"/>
        <v>66.694444444444756</v>
      </c>
      <c r="I73">
        <f t="shared" si="14"/>
        <v>4749.5069444444471</v>
      </c>
      <c r="J73">
        <f t="shared" si="15"/>
        <v>3690.5625</v>
      </c>
      <c r="M73">
        <v>6</v>
      </c>
      <c r="N73">
        <v>6</v>
      </c>
      <c r="O73">
        <v>0</v>
      </c>
      <c r="P73">
        <v>0</v>
      </c>
    </row>
    <row r="74" spans="1:36" x14ac:dyDescent="0.45">
      <c r="A74">
        <v>2008</v>
      </c>
      <c r="B74" s="5">
        <v>198</v>
      </c>
      <c r="C74">
        <v>1</v>
      </c>
      <c r="D74">
        <v>0</v>
      </c>
      <c r="E74">
        <v>0</v>
      </c>
      <c r="F74">
        <v>0</v>
      </c>
      <c r="G74">
        <f t="shared" si="12"/>
        <v>243.83333333333331</v>
      </c>
      <c r="H74">
        <f t="shared" si="13"/>
        <v>2100.6944444444425</v>
      </c>
      <c r="I74">
        <f t="shared" si="14"/>
        <v>16405.340277777774</v>
      </c>
      <c r="J74">
        <f t="shared" si="15"/>
        <v>6765.0625</v>
      </c>
      <c r="M74">
        <v>6</v>
      </c>
      <c r="N74">
        <v>0</v>
      </c>
      <c r="O74">
        <v>6</v>
      </c>
      <c r="P74">
        <v>0</v>
      </c>
    </row>
    <row r="75" spans="1:36" x14ac:dyDescent="0.45">
      <c r="B75">
        <v>289</v>
      </c>
      <c r="C75">
        <v>1</v>
      </c>
      <c r="D75">
        <v>1</v>
      </c>
      <c r="E75">
        <v>0</v>
      </c>
      <c r="F75">
        <v>0</v>
      </c>
      <c r="G75">
        <f t="shared" si="12"/>
        <v>312</v>
      </c>
      <c r="H75">
        <f t="shared" si="13"/>
        <v>529</v>
      </c>
      <c r="I75">
        <f t="shared" si="14"/>
        <v>1375.1736111111097</v>
      </c>
      <c r="J75">
        <f t="shared" si="15"/>
        <v>198.34027777777723</v>
      </c>
      <c r="M75">
        <v>6</v>
      </c>
      <c r="N75">
        <v>0</v>
      </c>
      <c r="O75">
        <v>0</v>
      </c>
      <c r="P75">
        <v>6</v>
      </c>
    </row>
    <row r="76" spans="1:36" x14ac:dyDescent="0.45">
      <c r="B76">
        <v>310</v>
      </c>
      <c r="C76">
        <v>1</v>
      </c>
      <c r="D76">
        <v>0</v>
      </c>
      <c r="E76">
        <v>1</v>
      </c>
      <c r="F76">
        <v>0</v>
      </c>
      <c r="G76">
        <f t="shared" si="12"/>
        <v>361.66666666666663</v>
      </c>
      <c r="H76">
        <f t="shared" si="13"/>
        <v>2669.4444444444407</v>
      </c>
      <c r="I76">
        <f t="shared" si="14"/>
        <v>258.67361111111052</v>
      </c>
      <c r="J76">
        <f t="shared" si="15"/>
        <v>1266.1736111111097</v>
      </c>
    </row>
    <row r="77" spans="1:36" x14ac:dyDescent="0.45">
      <c r="B77">
        <v>357</v>
      </c>
      <c r="C77">
        <v>1</v>
      </c>
      <c r="D77">
        <v>0</v>
      </c>
      <c r="E77">
        <v>0</v>
      </c>
      <c r="F77">
        <v>1</v>
      </c>
      <c r="G77">
        <f t="shared" si="12"/>
        <v>386.83333333333331</v>
      </c>
      <c r="H77">
        <f t="shared" si="13"/>
        <v>890.02777777777669</v>
      </c>
      <c r="I77">
        <f t="shared" si="14"/>
        <v>955.84027777777897</v>
      </c>
      <c r="J77">
        <f t="shared" si="15"/>
        <v>3690.5625</v>
      </c>
      <c r="L77" t="s">
        <v>58</v>
      </c>
      <c r="M77" cm="1">
        <f t="array" ref="M77:P80">MINVERSE(_xlfn.ANCHORARRAY(M72))</f>
        <v>0.16666666666666666</v>
      </c>
      <c r="N77">
        <v>-0.16666666666666666</v>
      </c>
      <c r="O77">
        <v>-0.16666666666666666</v>
      </c>
      <c r="P77">
        <v>-0.16666666666666666</v>
      </c>
    </row>
    <row r="78" spans="1:36" x14ac:dyDescent="0.45">
      <c r="A78">
        <v>2009</v>
      </c>
      <c r="B78">
        <v>200</v>
      </c>
      <c r="C78">
        <v>1</v>
      </c>
      <c r="D78">
        <v>0</v>
      </c>
      <c r="E78">
        <v>0</v>
      </c>
      <c r="F78">
        <v>0</v>
      </c>
      <c r="G78">
        <f t="shared" si="12"/>
        <v>243.83333333333331</v>
      </c>
      <c r="H78">
        <f t="shared" si="13"/>
        <v>1921.3611111111095</v>
      </c>
      <c r="I78">
        <f t="shared" si="14"/>
        <v>15897.00694444444</v>
      </c>
      <c r="J78">
        <f t="shared" si="15"/>
        <v>6765.0625</v>
      </c>
      <c r="M78">
        <v>-0.16666666666666666</v>
      </c>
      <c r="N78">
        <v>0.33333333333333331</v>
      </c>
      <c r="O78">
        <v>0.16666666666666666</v>
      </c>
      <c r="P78">
        <v>0.16666666666666666</v>
      </c>
    </row>
    <row r="79" spans="1:36" x14ac:dyDescent="0.45">
      <c r="B79">
        <v>290</v>
      </c>
      <c r="C79">
        <v>1</v>
      </c>
      <c r="D79">
        <v>1</v>
      </c>
      <c r="E79">
        <v>0</v>
      </c>
      <c r="F79">
        <v>0</v>
      </c>
      <c r="G79">
        <f t="shared" si="12"/>
        <v>312</v>
      </c>
      <c r="H79">
        <f t="shared" si="13"/>
        <v>484</v>
      </c>
      <c r="I79">
        <f t="shared" si="14"/>
        <v>1302.006944444443</v>
      </c>
      <c r="J79">
        <f t="shared" si="15"/>
        <v>198.34027777777723</v>
      </c>
      <c r="M79">
        <v>-0.16666666666666666</v>
      </c>
      <c r="N79">
        <v>0.16666666666666666</v>
      </c>
      <c r="O79">
        <v>0.33333333333333331</v>
      </c>
      <c r="P79">
        <v>0.16666666666666666</v>
      </c>
    </row>
    <row r="80" spans="1:36" x14ac:dyDescent="0.45">
      <c r="B80">
        <v>331</v>
      </c>
      <c r="C80">
        <v>1</v>
      </c>
      <c r="D80">
        <v>0</v>
      </c>
      <c r="E80">
        <v>1</v>
      </c>
      <c r="F80">
        <v>0</v>
      </c>
      <c r="G80">
        <f t="shared" si="12"/>
        <v>361.66666666666663</v>
      </c>
      <c r="H80">
        <f t="shared" si="13"/>
        <v>940.44444444444207</v>
      </c>
      <c r="I80">
        <f t="shared" si="14"/>
        <v>24.173611111111299</v>
      </c>
      <c r="J80">
        <f t="shared" si="15"/>
        <v>1266.1736111111097</v>
      </c>
      <c r="M80">
        <v>-0.16666666666666666</v>
      </c>
      <c r="N80">
        <v>0.16666666666666666</v>
      </c>
      <c r="O80">
        <v>0.16666666666666666</v>
      </c>
      <c r="P80">
        <v>0.33333333333333331</v>
      </c>
    </row>
    <row r="81" spans="1:17" x14ac:dyDescent="0.45">
      <c r="B81">
        <v>359</v>
      </c>
      <c r="C81">
        <v>1</v>
      </c>
      <c r="D81">
        <v>0</v>
      </c>
      <c r="E81">
        <v>0</v>
      </c>
      <c r="F81">
        <v>1</v>
      </c>
      <c r="G81">
        <f t="shared" si="12"/>
        <v>386.83333333333331</v>
      </c>
      <c r="H81">
        <f t="shared" si="13"/>
        <v>774.69444444444343</v>
      </c>
      <c r="I81">
        <f t="shared" si="14"/>
        <v>1083.5069444444457</v>
      </c>
      <c r="J81">
        <f t="shared" si="15"/>
        <v>3690.5625</v>
      </c>
    </row>
    <row r="82" spans="1:17" x14ac:dyDescent="0.45">
      <c r="A82">
        <v>2010</v>
      </c>
      <c r="B82">
        <v>250</v>
      </c>
      <c r="C82">
        <v>1</v>
      </c>
      <c r="D82">
        <v>0</v>
      </c>
      <c r="E82">
        <v>0</v>
      </c>
      <c r="F82">
        <v>0</v>
      </c>
      <c r="G82">
        <f t="shared" si="12"/>
        <v>243.83333333333331</v>
      </c>
      <c r="H82">
        <f t="shared" si="13"/>
        <v>38.027777777778013</v>
      </c>
      <c r="I82">
        <f t="shared" si="14"/>
        <v>5788.6736111111086</v>
      </c>
      <c r="J82">
        <f t="shared" si="15"/>
        <v>6765.0625</v>
      </c>
      <c r="L82" t="s">
        <v>59</v>
      </c>
      <c r="M82" cm="1">
        <f t="array" ref="M82:M85">MMULT(M67:AJ70,B62:B85)</f>
        <v>7826</v>
      </c>
      <c r="O82" t="s">
        <v>60</v>
      </c>
      <c r="P82" cm="1">
        <f t="array" ref="P82:P85">MMULT(_xlfn.ANCHORARRAY(M77),_xlfn.ANCHORARRAY(M82))</f>
        <v>243.83333333333331</v>
      </c>
      <c r="Q82" s="7" t="s">
        <v>63</v>
      </c>
    </row>
    <row r="83" spans="1:17" x14ac:dyDescent="0.45">
      <c r="B83">
        <v>300</v>
      </c>
      <c r="C83">
        <v>1</v>
      </c>
      <c r="D83">
        <v>1</v>
      </c>
      <c r="E83">
        <v>0</v>
      </c>
      <c r="F83">
        <v>0</v>
      </c>
      <c r="G83">
        <f t="shared" si="12"/>
        <v>312</v>
      </c>
      <c r="H83">
        <f t="shared" si="13"/>
        <v>144</v>
      </c>
      <c r="I83">
        <f t="shared" si="14"/>
        <v>680.34027777777681</v>
      </c>
      <c r="J83">
        <f t="shared" si="15"/>
        <v>198.34027777777723</v>
      </c>
      <c r="M83">
        <v>1872</v>
      </c>
      <c r="O83" s="4" t="s">
        <v>61</v>
      </c>
      <c r="P83">
        <v>68.166666666666686</v>
      </c>
      <c r="Q83" s="7" t="s">
        <v>67</v>
      </c>
    </row>
    <row r="84" spans="1:17" x14ac:dyDescent="0.45">
      <c r="B84">
        <v>350</v>
      </c>
      <c r="C84">
        <v>1</v>
      </c>
      <c r="D84">
        <v>0</v>
      </c>
      <c r="E84">
        <v>1</v>
      </c>
      <c r="F84">
        <v>0</v>
      </c>
      <c r="G84">
        <f t="shared" si="12"/>
        <v>361.66666666666663</v>
      </c>
      <c r="H84">
        <f t="shared" si="13"/>
        <v>136.11111111111023</v>
      </c>
      <c r="I84">
        <f t="shared" si="14"/>
        <v>572.00694444444537</v>
      </c>
      <c r="J84">
        <f t="shared" si="15"/>
        <v>1266.1736111111097</v>
      </c>
      <c r="M84">
        <v>2170</v>
      </c>
      <c r="P84">
        <v>117.83333333333331</v>
      </c>
      <c r="Q84" s="7" t="s">
        <v>68</v>
      </c>
    </row>
    <row r="85" spans="1:17" x14ac:dyDescent="0.45">
      <c r="B85">
        <v>400</v>
      </c>
      <c r="C85">
        <v>1</v>
      </c>
      <c r="D85">
        <v>0</v>
      </c>
      <c r="E85">
        <v>0</v>
      </c>
      <c r="F85">
        <v>1</v>
      </c>
      <c r="G85">
        <f t="shared" si="12"/>
        <v>386.83333333333331</v>
      </c>
      <c r="H85">
        <f t="shared" si="13"/>
        <v>173.3611111111116</v>
      </c>
      <c r="I85">
        <f t="shared" si="14"/>
        <v>5463.673611111114</v>
      </c>
      <c r="J85">
        <f t="shared" si="15"/>
        <v>3690.5625</v>
      </c>
      <c r="M85">
        <v>2321</v>
      </c>
      <c r="P85">
        <v>143</v>
      </c>
      <c r="Q85" s="7" t="s">
        <v>69</v>
      </c>
    </row>
    <row r="86" spans="1:17" x14ac:dyDescent="0.45">
      <c r="A86" t="s">
        <v>21</v>
      </c>
      <c r="H86">
        <f>SUM(H62:H85)</f>
        <v>21689</v>
      </c>
      <c r="I86">
        <f>SUM(I62:I85)</f>
        <v>93209.833333333343</v>
      </c>
      <c r="J86">
        <f>SUM(J62:J85)</f>
        <v>71520.833333333314</v>
      </c>
    </row>
    <row r="87" spans="1:17" x14ac:dyDescent="0.45">
      <c r="L87" t="s">
        <v>62</v>
      </c>
      <c r="M87" t="s">
        <v>63</v>
      </c>
      <c r="N87" t="s">
        <v>64</v>
      </c>
      <c r="O87" t="s">
        <v>65</v>
      </c>
      <c r="P87" t="s">
        <v>66</v>
      </c>
    </row>
    <row r="89" spans="1:17" x14ac:dyDescent="0.45">
      <c r="B89" t="s">
        <v>71</v>
      </c>
      <c r="I89" t="s">
        <v>89</v>
      </c>
    </row>
    <row r="90" spans="1:17" x14ac:dyDescent="0.45">
      <c r="C90" t="s">
        <v>3</v>
      </c>
      <c r="D90" t="s">
        <v>87</v>
      </c>
      <c r="J90" t="s">
        <v>67</v>
      </c>
      <c r="K90" t="s">
        <v>3</v>
      </c>
      <c r="L90" t="s">
        <v>90</v>
      </c>
    </row>
    <row r="91" spans="1:17" x14ac:dyDescent="0.45">
      <c r="C91" t="s">
        <v>4</v>
      </c>
      <c r="D91" t="s">
        <v>88</v>
      </c>
      <c r="K91" t="s">
        <v>4</v>
      </c>
      <c r="L91" t="s">
        <v>91</v>
      </c>
    </row>
    <row r="92" spans="1:17" x14ac:dyDescent="0.45">
      <c r="D92" s="1" t="str">
        <f>IF(F99&gt;D96,"Reject H0", "Accept H0")</f>
        <v>Reject H0</v>
      </c>
      <c r="L92" s="1" t="str">
        <f>IF(OR(L96&gt;L97,L96&lt;L98),"Reject H0","Accept H0")</f>
        <v>Reject H0</v>
      </c>
    </row>
    <row r="94" spans="1:17" x14ac:dyDescent="0.45">
      <c r="C94" t="s">
        <v>33</v>
      </c>
      <c r="D94">
        <f>COUNT(B62:B85)</f>
        <v>24</v>
      </c>
      <c r="K94" t="s">
        <v>92</v>
      </c>
      <c r="L94">
        <f>P83</f>
        <v>68.166666666666686</v>
      </c>
    </row>
    <row r="95" spans="1:17" x14ac:dyDescent="0.45">
      <c r="C95" t="s">
        <v>81</v>
      </c>
      <c r="D95">
        <f>COUNT(P83:P85)</f>
        <v>3</v>
      </c>
      <c r="K95" t="s">
        <v>93</v>
      </c>
      <c r="L95">
        <f>D104</f>
        <v>32.930988445535611</v>
      </c>
    </row>
    <row r="96" spans="1:17" x14ac:dyDescent="0.45">
      <c r="C96" t="s">
        <v>86</v>
      </c>
      <c r="D96">
        <f>_xlfn.F.INV(0.95,D99,D100)</f>
        <v>3.0983912121407773</v>
      </c>
      <c r="K96" t="s">
        <v>15</v>
      </c>
      <c r="L96">
        <f>(L94-0)/(L95*SQRT(N78))</f>
        <v>3.5853199561425484</v>
      </c>
    </row>
    <row r="97" spans="2:12" x14ac:dyDescent="0.45">
      <c r="K97" s="4" t="s">
        <v>95</v>
      </c>
      <c r="L97">
        <f>_xlfn.T.INV(0.975,20)</f>
        <v>2.0859634472658648</v>
      </c>
    </row>
    <row r="98" spans="2:12" x14ac:dyDescent="0.45">
      <c r="C98" t="s">
        <v>77</v>
      </c>
      <c r="D98" t="s">
        <v>78</v>
      </c>
      <c r="E98" t="s">
        <v>79</v>
      </c>
      <c r="F98" t="s">
        <v>80</v>
      </c>
      <c r="K98" s="4" t="s">
        <v>96</v>
      </c>
      <c r="L98">
        <f>_xlfn.T.INV(1-0.975,20)</f>
        <v>-2.0859634472658648</v>
      </c>
    </row>
    <row r="99" spans="2:12" x14ac:dyDescent="0.45">
      <c r="B99" t="s">
        <v>74</v>
      </c>
      <c r="C99">
        <f>C101-C100</f>
        <v>71520.833333333343</v>
      </c>
      <c r="D99">
        <f>D95</f>
        <v>3</v>
      </c>
      <c r="E99">
        <f>C99/D99</f>
        <v>23840.277777777781</v>
      </c>
      <c r="F99">
        <f>E99/E100</f>
        <v>21.983750083247525</v>
      </c>
    </row>
    <row r="100" spans="2:12" x14ac:dyDescent="0.45">
      <c r="B100" t="s">
        <v>75</v>
      </c>
      <c r="C100">
        <f>H86</f>
        <v>21689</v>
      </c>
      <c r="D100">
        <f>D94-(D95+1)</f>
        <v>20</v>
      </c>
      <c r="E100">
        <f>C100/D100</f>
        <v>1084.45</v>
      </c>
      <c r="J100" t="s">
        <v>68</v>
      </c>
      <c r="K100" t="s">
        <v>3</v>
      </c>
      <c r="L100" t="s">
        <v>97</v>
      </c>
    </row>
    <row r="101" spans="2:12" x14ac:dyDescent="0.45">
      <c r="B101" t="s">
        <v>76</v>
      </c>
      <c r="C101">
        <f>I86</f>
        <v>93209.833333333343</v>
      </c>
      <c r="K101" t="s">
        <v>4</v>
      </c>
      <c r="L101" t="s">
        <v>98</v>
      </c>
    </row>
    <row r="102" spans="2:12" x14ac:dyDescent="0.45">
      <c r="L102" s="1" t="str">
        <f>IF(OR(L106&gt;L107,L106&lt;L108),"Reject H0","Accept H0")</f>
        <v>Reject H0</v>
      </c>
    </row>
    <row r="103" spans="2:12" x14ac:dyDescent="0.45">
      <c r="C103" t="s">
        <v>94</v>
      </c>
      <c r="D103">
        <f>C100/D100</f>
        <v>1084.45</v>
      </c>
    </row>
    <row r="104" spans="2:12" x14ac:dyDescent="0.45">
      <c r="C104" t="s">
        <v>93</v>
      </c>
      <c r="D104">
        <f>SQRT(D103)</f>
        <v>32.930988445535611</v>
      </c>
      <c r="K104" t="s">
        <v>99</v>
      </c>
      <c r="L104">
        <f>P84</f>
        <v>117.83333333333331</v>
      </c>
    </row>
    <row r="105" spans="2:12" x14ac:dyDescent="0.45">
      <c r="K105" t="s">
        <v>93</v>
      </c>
      <c r="L105">
        <f>D104</f>
        <v>32.930988445535611</v>
      </c>
    </row>
    <row r="106" spans="2:12" x14ac:dyDescent="0.45">
      <c r="K106" t="s">
        <v>15</v>
      </c>
      <c r="L106">
        <f>(L104-0)/(L105*SQRT(O79))</f>
        <v>6.1976068679530085</v>
      </c>
    </row>
    <row r="107" spans="2:12" x14ac:dyDescent="0.45">
      <c r="K107" s="4" t="s">
        <v>95</v>
      </c>
      <c r="L107">
        <f>_xlfn.T.INV(0.975,20)</f>
        <v>2.0859634472658648</v>
      </c>
    </row>
    <row r="108" spans="2:12" x14ac:dyDescent="0.45">
      <c r="K108" s="4" t="s">
        <v>96</v>
      </c>
      <c r="L108">
        <f>_xlfn.T.INV(1-0.975,20)</f>
        <v>-2.0859634472658648</v>
      </c>
    </row>
    <row r="110" spans="2:12" x14ac:dyDescent="0.45">
      <c r="J110" t="s">
        <v>69</v>
      </c>
      <c r="K110" t="s">
        <v>3</v>
      </c>
      <c r="L110" t="s">
        <v>100</v>
      </c>
    </row>
    <row r="111" spans="2:12" x14ac:dyDescent="0.45">
      <c r="K111" t="s">
        <v>4</v>
      </c>
      <c r="L111" t="s">
        <v>101</v>
      </c>
    </row>
    <row r="112" spans="2:12" x14ac:dyDescent="0.45">
      <c r="L112" s="1" t="str">
        <f>IF(OR(L116&gt;L117,L116&lt;L118),"Reject H0","Accept H0")</f>
        <v>Reject H0</v>
      </c>
    </row>
    <row r="114" spans="1:15" x14ac:dyDescent="0.45">
      <c r="K114" t="s">
        <v>102</v>
      </c>
      <c r="L114">
        <f>P85</f>
        <v>143</v>
      </c>
    </row>
    <row r="115" spans="1:15" x14ac:dyDescent="0.45">
      <c r="K115" t="s">
        <v>93</v>
      </c>
      <c r="L115">
        <f>D104</f>
        <v>32.930988445535611</v>
      </c>
    </row>
    <row r="116" spans="1:15" x14ac:dyDescent="0.45">
      <c r="K116" t="s">
        <v>15</v>
      </c>
      <c r="L116">
        <f>(L114-0)/(L115*SQRT(P80))</f>
        <v>7.5212824507831435</v>
      </c>
    </row>
    <row r="117" spans="1:15" x14ac:dyDescent="0.45">
      <c r="K117" s="4" t="s">
        <v>95</v>
      </c>
      <c r="L117">
        <f>_xlfn.T.INV(0.975,20)</f>
        <v>2.0859634472658648</v>
      </c>
    </row>
    <row r="118" spans="1:15" x14ac:dyDescent="0.45">
      <c r="K118" s="4" t="s">
        <v>96</v>
      </c>
      <c r="L118">
        <f>_xlfn.T.INV(1-0.975,20)</f>
        <v>-2.0859634472658648</v>
      </c>
    </row>
    <row r="120" spans="1:15" x14ac:dyDescent="0.45">
      <c r="F120" t="s">
        <v>104</v>
      </c>
      <c r="G120" t="s">
        <v>109</v>
      </c>
    </row>
    <row r="121" spans="1:15" x14ac:dyDescent="0.45">
      <c r="A121" t="s">
        <v>103</v>
      </c>
      <c r="B121" t="s">
        <v>55</v>
      </c>
      <c r="C121" t="s">
        <v>46</v>
      </c>
      <c r="D121" t="s">
        <v>47</v>
      </c>
      <c r="E121" t="s">
        <v>48</v>
      </c>
      <c r="F121" t="s">
        <v>62</v>
      </c>
      <c r="G121" s="4" t="s">
        <v>110</v>
      </c>
      <c r="H121" s="4" t="s">
        <v>111</v>
      </c>
    </row>
    <row r="122" spans="1:15" x14ac:dyDescent="0.45">
      <c r="A122">
        <v>2012</v>
      </c>
      <c r="B122">
        <v>1</v>
      </c>
      <c r="C122">
        <v>0</v>
      </c>
      <c r="D122">
        <v>0</v>
      </c>
      <c r="E122">
        <v>0</v>
      </c>
      <c r="F122">
        <f>$P$82+($P$83*C122)+($P$84*D122)+($P$85*E122)</f>
        <v>243.83333333333331</v>
      </c>
      <c r="G122">
        <f>$F122-($L$136*L$134)</f>
        <v>169.63658798658855</v>
      </c>
      <c r="H122">
        <f>$F122+($L$136*L$134)</f>
        <v>318.03007868007808</v>
      </c>
      <c r="K122" t="s">
        <v>106</v>
      </c>
      <c r="L122">
        <v>1</v>
      </c>
      <c r="M122">
        <v>1</v>
      </c>
      <c r="N122">
        <v>1</v>
      </c>
      <c r="O122">
        <v>1</v>
      </c>
    </row>
    <row r="123" spans="1:15" x14ac:dyDescent="0.45">
      <c r="B123">
        <v>1</v>
      </c>
      <c r="C123">
        <v>1</v>
      </c>
      <c r="D123">
        <v>0</v>
      </c>
      <c r="E123">
        <v>0</v>
      </c>
      <c r="F123">
        <f>$P$82+($P$83*C123)+($P$84*D123)+($P$85*E123)</f>
        <v>312</v>
      </c>
      <c r="G123">
        <f>$F123-($L$136*M$134)</f>
        <v>237.80325465325524</v>
      </c>
      <c r="H123">
        <f>$F123+($L$136*M$134)</f>
        <v>386.19674534674476</v>
      </c>
      <c r="L123">
        <v>0</v>
      </c>
      <c r="M123">
        <v>1</v>
      </c>
      <c r="N123">
        <v>0</v>
      </c>
      <c r="O123">
        <v>0</v>
      </c>
    </row>
    <row r="124" spans="1:15" x14ac:dyDescent="0.45">
      <c r="B124">
        <v>1</v>
      </c>
      <c r="C124">
        <v>0</v>
      </c>
      <c r="D124">
        <v>1</v>
      </c>
      <c r="E124">
        <v>0</v>
      </c>
      <c r="F124">
        <f>$P$82+($P$83*C124)+($P$84*D124)+($P$85*E124)</f>
        <v>361.66666666666663</v>
      </c>
      <c r="G124">
        <f>$F124-($L$136*N$134)</f>
        <v>287.46992131992187</v>
      </c>
      <c r="H124">
        <f>$F124+($L$136*N$134)</f>
        <v>435.86341201341139</v>
      </c>
      <c r="L124">
        <v>0</v>
      </c>
      <c r="M124">
        <v>0</v>
      </c>
      <c r="N124">
        <v>1</v>
      </c>
      <c r="O124">
        <v>0</v>
      </c>
    </row>
    <row r="125" spans="1:15" x14ac:dyDescent="0.45">
      <c r="B125">
        <v>1</v>
      </c>
      <c r="C125">
        <v>0</v>
      </c>
      <c r="D125">
        <v>0</v>
      </c>
      <c r="E125">
        <v>1</v>
      </c>
      <c r="F125">
        <f>$P$82+($P$83*C125)+($P$84*D125)+($P$85*E125)</f>
        <v>386.83333333333331</v>
      </c>
      <c r="G125">
        <f>$F125-($L$136*O$134)</f>
        <v>312.63658798658855</v>
      </c>
      <c r="H125">
        <f>$F125+($L$136*O$134)</f>
        <v>461.03007868007808</v>
      </c>
      <c r="L125">
        <v>0</v>
      </c>
      <c r="M125">
        <v>0</v>
      </c>
      <c r="N125">
        <v>0</v>
      </c>
      <c r="O125">
        <v>1</v>
      </c>
    </row>
    <row r="128" spans="1:15" x14ac:dyDescent="0.45">
      <c r="K128" t="s">
        <v>107</v>
      </c>
      <c r="L128" cm="1">
        <f t="array" ref="L128:O131">MMULT(MMULT(B122:E125,_xlfn.ANCHORARRAY(M77)),L122:O125)</f>
        <v>0.16666666666666666</v>
      </c>
      <c r="M128">
        <v>0</v>
      </c>
      <c r="N128">
        <v>0</v>
      </c>
      <c r="O128">
        <v>0</v>
      </c>
    </row>
    <row r="129" spans="1:15" x14ac:dyDescent="0.45">
      <c r="L129">
        <v>0</v>
      </c>
      <c r="M129">
        <v>0.16666666666666666</v>
      </c>
      <c r="N129">
        <v>0</v>
      </c>
      <c r="O129">
        <v>0</v>
      </c>
    </row>
    <row r="130" spans="1:15" x14ac:dyDescent="0.45">
      <c r="L130">
        <v>0</v>
      </c>
      <c r="M130">
        <v>0</v>
      </c>
      <c r="N130">
        <v>0.16666666666666666</v>
      </c>
      <c r="O130">
        <v>0</v>
      </c>
    </row>
    <row r="131" spans="1:15" x14ac:dyDescent="0.45">
      <c r="L131">
        <v>0</v>
      </c>
      <c r="M131">
        <v>0</v>
      </c>
      <c r="N131">
        <v>0</v>
      </c>
      <c r="O131">
        <v>0.16666666666666666</v>
      </c>
    </row>
    <row r="133" spans="1:15" x14ac:dyDescent="0.45">
      <c r="L133" t="s">
        <v>112</v>
      </c>
      <c r="M133" t="s">
        <v>113</v>
      </c>
      <c r="N133" t="s">
        <v>114</v>
      </c>
      <c r="O133" t="s">
        <v>115</v>
      </c>
    </row>
    <row r="134" spans="1:15" x14ac:dyDescent="0.45">
      <c r="K134" t="s">
        <v>108</v>
      </c>
      <c r="L134">
        <f>$D$104*SQRT(1+L128)</f>
        <v>35.569532842963611</v>
      </c>
      <c r="M134">
        <f>$D$104*SQRT(1+M129)</f>
        <v>35.569532842963611</v>
      </c>
      <c r="N134">
        <f>$D$104*SQRT(1+N130)</f>
        <v>35.569532842963611</v>
      </c>
      <c r="O134">
        <f>$D$104*SQRT(1+O131)</f>
        <v>35.569532842963611</v>
      </c>
    </row>
    <row r="136" spans="1:15" x14ac:dyDescent="0.45">
      <c r="K136" s="4" t="s">
        <v>105</v>
      </c>
      <c r="L136">
        <f>_xlfn.T.INV(0.975,20)</f>
        <v>2.0859634472658648</v>
      </c>
    </row>
    <row r="137" spans="1:15" x14ac:dyDescent="0.45">
      <c r="K137" s="4"/>
    </row>
    <row r="142" spans="1:15" x14ac:dyDescent="0.45">
      <c r="A142" t="s">
        <v>125</v>
      </c>
      <c r="B142" t="s">
        <v>116</v>
      </c>
      <c r="C142" t="s">
        <v>117</v>
      </c>
      <c r="D142">
        <v>240</v>
      </c>
    </row>
    <row r="143" spans="1:15" x14ac:dyDescent="0.45">
      <c r="C143" t="s">
        <v>118</v>
      </c>
      <c r="D143">
        <v>330</v>
      </c>
    </row>
    <row r="144" spans="1:15" x14ac:dyDescent="0.45">
      <c r="C144" t="s">
        <v>119</v>
      </c>
      <c r="D144">
        <v>370</v>
      </c>
    </row>
    <row r="145" spans="1:6" x14ac:dyDescent="0.45">
      <c r="C145" t="s">
        <v>120</v>
      </c>
      <c r="D145">
        <v>400</v>
      </c>
    </row>
    <row r="147" spans="1:6" x14ac:dyDescent="0.45">
      <c r="A147" t="s">
        <v>103</v>
      </c>
      <c r="B147" t="s">
        <v>121</v>
      </c>
      <c r="C147" t="s">
        <v>62</v>
      </c>
      <c r="D147" t="s">
        <v>122</v>
      </c>
      <c r="E147" t="s">
        <v>123</v>
      </c>
      <c r="F147" t="s">
        <v>72</v>
      </c>
    </row>
    <row r="148" spans="1:6" x14ac:dyDescent="0.45">
      <c r="A148">
        <v>2012</v>
      </c>
      <c r="B148">
        <v>240</v>
      </c>
      <c r="C148">
        <v>243.83333333333331</v>
      </c>
      <c r="D148">
        <v>169.63658798658855</v>
      </c>
      <c r="E148">
        <v>318.03007868007808</v>
      </c>
      <c r="F148">
        <f>(B148-C148)^2</f>
        <v>14.694444444444299</v>
      </c>
    </row>
    <row r="149" spans="1:6" x14ac:dyDescent="0.45">
      <c r="B149">
        <v>330</v>
      </c>
      <c r="C149">
        <v>312</v>
      </c>
      <c r="D149">
        <v>237.80325465325524</v>
      </c>
      <c r="E149">
        <v>386.19674534674476</v>
      </c>
      <c r="F149">
        <f t="shared" ref="F149:F151" si="16">(B149-C149)^2</f>
        <v>324</v>
      </c>
    </row>
    <row r="150" spans="1:6" x14ac:dyDescent="0.45">
      <c r="B150">
        <v>370</v>
      </c>
      <c r="C150">
        <v>361.66666666666663</v>
      </c>
      <c r="D150">
        <v>287.46992131992187</v>
      </c>
      <c r="E150">
        <v>435.86341201341139</v>
      </c>
      <c r="F150">
        <f t="shared" si="16"/>
        <v>69.444444444445082</v>
      </c>
    </row>
    <row r="151" spans="1:6" x14ac:dyDescent="0.45">
      <c r="B151">
        <v>400</v>
      </c>
      <c r="C151">
        <v>386.83333333333331</v>
      </c>
      <c r="D151">
        <v>312.63658798658855</v>
      </c>
      <c r="E151">
        <v>461.03007868007808</v>
      </c>
      <c r="F151">
        <f t="shared" si="16"/>
        <v>173.3611111111116</v>
      </c>
    </row>
    <row r="152" spans="1:6" x14ac:dyDescent="0.45">
      <c r="A152" t="s">
        <v>21</v>
      </c>
      <c r="F152">
        <f>SUM(F148:F151)</f>
        <v>581.50000000000091</v>
      </c>
    </row>
    <row r="154" spans="1:6" x14ac:dyDescent="0.45">
      <c r="B154" t="s">
        <v>124</v>
      </c>
      <c r="C154">
        <f>SQRT(F152/COUNT(B148:B151))</f>
        <v>12.057155551787504</v>
      </c>
    </row>
  </sheetData>
  <autoFilter ref="A20:I46" xr:uid="{85077ADE-6871-407F-98EE-89AD242DDD69}">
    <sortState xmlns:xlrd2="http://schemas.microsoft.com/office/spreadsheetml/2017/richdata2" ref="A21:I46">
      <sortCondition ref="C20:C46"/>
    </sortState>
  </autoFilter>
  <phoneticPr fontId="2" type="noConversion"/>
  <pageMargins left="0.7" right="0.7" top="0.75" bottom="0.75" header="0.3" footer="0.3"/>
  <ignoredErrors>
    <ignoredError sqref="F11:F12 F13:F16 L31:P33 D51:J55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PIYAPAT JANTAWEE</dc:creator>
  <cp:lastModifiedBy>PIYAPAT JANTAWEE</cp:lastModifiedBy>
  <dcterms:created xsi:type="dcterms:W3CDTF">2025-02-14T14:17:28Z</dcterms:created>
  <dcterms:modified xsi:type="dcterms:W3CDTF">2025-02-16T05:22:05Z</dcterms:modified>
</cp:coreProperties>
</file>